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27" documentId="8_{06376EE1-B0DD-45EC-BF0E-FB21B357E1EF}" xr6:coauthVersionLast="47" xr6:coauthVersionMax="47" xr10:uidLastSave="{E8EC86C3-91F0-4340-A3EA-1D1B7F850470}"/>
  <bookViews>
    <workbookView xWindow="-110" yWindow="-110" windowWidth="19420" windowHeight="10300" xr2:uid="{0B067436-489C-4F7D-A3D3-1998983265A1}"/>
  </bookViews>
  <sheets>
    <sheet name="Master" sheetId="5" r:id="rId1"/>
    <sheet name="530 con Mora - Calc de int" sheetId="4" r:id="rId2"/>
    <sheet name="Anticipos" sheetId="7" r:id="rId3"/>
    <sheet name="Montos contractuales" sheetId="8" r:id="rId4"/>
  </sheets>
  <externalReferences>
    <externalReference r:id="rId5"/>
  </externalReferences>
  <definedNames>
    <definedName name="_xlnm._FilterDatabase" localSheetId="0" hidden="1">Master!$A$1:$AL$547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16" i="5" l="1"/>
  <c r="AA116" i="5" s="1"/>
  <c r="AJ116" i="5" s="1"/>
  <c r="AK116" i="5" s="1"/>
  <c r="K116" i="5"/>
  <c r="AI116" i="5"/>
  <c r="X116" i="5"/>
  <c r="K101" i="5"/>
  <c r="K113" i="5"/>
  <c r="AI2" i="5"/>
  <c r="AI3" i="5"/>
  <c r="K3" i="5"/>
  <c r="K2" i="5"/>
  <c r="S3" i="5"/>
  <c r="AA3" i="5" s="1"/>
  <c r="X2" i="5"/>
  <c r="V2" i="5"/>
  <c r="S2" i="5"/>
  <c r="W2" i="5" s="1"/>
  <c r="AJ3" i="5" l="1"/>
  <c r="AK3" i="5" s="1"/>
  <c r="AA2" i="5"/>
  <c r="AJ2" i="5" s="1"/>
  <c r="AK2" i="5" s="1"/>
  <c r="Y2" i="5"/>
  <c r="K547" i="5" l="1"/>
  <c r="X547" i="5"/>
  <c r="AI547" i="5"/>
  <c r="AI140" i="5"/>
  <c r="AI546" i="5"/>
  <c r="X546" i="5"/>
  <c r="W546" i="5"/>
  <c r="V546" i="5"/>
  <c r="U546" i="5"/>
  <c r="S192" i="5"/>
  <c r="U547" i="5" l="1"/>
  <c r="V547" i="5"/>
  <c r="W547" i="5"/>
  <c r="AA546" i="5"/>
  <c r="AJ546" i="5" s="1"/>
  <c r="AK546" i="5" s="1"/>
  <c r="AI190" i="5"/>
  <c r="AJ190" i="5" s="1"/>
  <c r="AI127" i="5"/>
  <c r="AJ127" i="5" s="1"/>
  <c r="AA547" i="5" l="1"/>
  <c r="AJ547" i="5" s="1"/>
  <c r="AK547" i="5" s="1"/>
  <c r="I127" i="5"/>
  <c r="I8" i="7"/>
  <c r="H8" i="7" s="1"/>
  <c r="K8" i="7" l="1"/>
  <c r="J8" i="7"/>
  <c r="H7" i="7" l="1"/>
  <c r="I544" i="5"/>
  <c r="I542" i="5"/>
  <c r="AI545" i="5"/>
  <c r="X545" i="5"/>
  <c r="W545" i="5"/>
  <c r="V545" i="5"/>
  <c r="U545" i="5"/>
  <c r="AI544" i="5"/>
  <c r="X544" i="5"/>
  <c r="W544" i="5"/>
  <c r="V544" i="5"/>
  <c r="U544" i="5"/>
  <c r="AI543" i="5"/>
  <c r="X543" i="5"/>
  <c r="W543" i="5"/>
  <c r="V543" i="5"/>
  <c r="U543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145" i="5"/>
  <c r="X145" i="5"/>
  <c r="W145" i="5"/>
  <c r="V145" i="5"/>
  <c r="U145" i="5"/>
  <c r="AI144" i="5"/>
  <c r="X144" i="5"/>
  <c r="W144" i="5"/>
  <c r="V144" i="5"/>
  <c r="U144" i="5"/>
  <c r="I537" i="5"/>
  <c r="I538" i="5"/>
  <c r="I539" i="5"/>
  <c r="I543" i="5"/>
  <c r="I545" i="5"/>
  <c r="I536" i="5"/>
  <c r="I7" i="7" s="1"/>
  <c r="K7" i="7" s="1"/>
  <c r="J7" i="7" l="1"/>
  <c r="AA540" i="5"/>
  <c r="AJ540" i="5" s="1"/>
  <c r="AA536" i="5"/>
  <c r="AJ536" i="5" s="1"/>
  <c r="AA543" i="5"/>
  <c r="AJ543" i="5" s="1"/>
  <c r="AA544" i="5"/>
  <c r="AJ544" i="5" s="1"/>
  <c r="AK544" i="5" s="1"/>
  <c r="AA144" i="5"/>
  <c r="AJ144" i="5" s="1"/>
  <c r="AA542" i="5"/>
  <c r="AJ542" i="5" s="1"/>
  <c r="AA145" i="5"/>
  <c r="AJ145" i="5" s="1"/>
  <c r="AA537" i="5"/>
  <c r="AJ537" i="5" s="1"/>
  <c r="AA545" i="5"/>
  <c r="AJ545" i="5" s="1"/>
  <c r="AK545" i="5" s="1"/>
  <c r="AA539" i="5"/>
  <c r="AJ539" i="5" s="1"/>
  <c r="AA538" i="5"/>
  <c r="AJ538" i="5" s="1"/>
  <c r="AA541" i="5"/>
  <c r="AJ541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5" i="5" l="1"/>
  <c r="AK144" i="5"/>
  <c r="AI147" i="5"/>
  <c r="AA147" i="5"/>
  <c r="AI118" i="5"/>
  <c r="AI117" i="5"/>
  <c r="AI102" i="5"/>
  <c r="AI101" i="5"/>
  <c r="AA118" i="5"/>
  <c r="AA117" i="5"/>
  <c r="AA102" i="5"/>
  <c r="AA101" i="5"/>
  <c r="AI143" i="5"/>
  <c r="X143" i="5"/>
  <c r="AI142" i="5"/>
  <c r="X142" i="5"/>
  <c r="U142" i="5"/>
  <c r="AJ102" i="5" l="1"/>
  <c r="AJ101" i="5"/>
  <c r="AJ117" i="5"/>
  <c r="AJ147" i="5"/>
  <c r="AJ118" i="5"/>
  <c r="U143" i="5"/>
  <c r="V143" i="5"/>
  <c r="W143" i="5"/>
  <c r="V142" i="5"/>
  <c r="W142" i="5"/>
  <c r="AA142" i="5" l="1"/>
  <c r="AJ142" i="5" s="1"/>
  <c r="AK142" i="5" s="1"/>
  <c r="AA143" i="5"/>
  <c r="AJ143" i="5" s="1"/>
  <c r="AK143" i="5" s="1"/>
  <c r="U137" i="5" l="1"/>
  <c r="W137" i="5"/>
  <c r="AI137" i="5"/>
  <c r="U138" i="5"/>
  <c r="W138" i="5"/>
  <c r="AI138" i="5"/>
  <c r="U139" i="5"/>
  <c r="V139" i="5"/>
  <c r="AI139" i="5"/>
  <c r="U140" i="5"/>
  <c r="V140" i="5"/>
  <c r="W140" i="5"/>
  <c r="V141" i="5"/>
  <c r="U141" i="5"/>
  <c r="AI141" i="5"/>
  <c r="AI130" i="5"/>
  <c r="S130" i="5"/>
  <c r="AA140" i="5" l="1"/>
  <c r="AJ140" i="5" s="1"/>
  <c r="AK140" i="5" s="1"/>
  <c r="W141" i="5"/>
  <c r="AA141" i="5" s="1"/>
  <c r="AJ141" i="5" s="1"/>
  <c r="AK141" i="5" s="1"/>
  <c r="W139" i="5"/>
  <c r="AA139" i="5" s="1"/>
  <c r="AJ139" i="5" s="1"/>
  <c r="AK139" i="5" s="1"/>
  <c r="V138" i="5"/>
  <c r="AA138" i="5" s="1"/>
  <c r="AJ138" i="5" s="1"/>
  <c r="AK138" i="5" s="1"/>
  <c r="V137" i="5"/>
  <c r="AA137" i="5" s="1"/>
  <c r="AJ137" i="5" s="1"/>
  <c r="AK137" i="5" s="1"/>
  <c r="U130" i="5"/>
  <c r="V130" i="5"/>
  <c r="W130" i="5"/>
  <c r="AA130" i="5" l="1"/>
  <c r="AJ130" i="5" s="1"/>
  <c r="AK130" i="5" s="1"/>
  <c r="AI136" i="5" l="1"/>
  <c r="X136" i="5"/>
  <c r="W136" i="5"/>
  <c r="V136" i="5"/>
  <c r="U136" i="5"/>
  <c r="AI129" i="5"/>
  <c r="X129" i="5"/>
  <c r="W129" i="5"/>
  <c r="V129" i="5"/>
  <c r="U129" i="5"/>
  <c r="AI135" i="5"/>
  <c r="X135" i="5"/>
  <c r="W135" i="5"/>
  <c r="V135" i="5"/>
  <c r="U135" i="5"/>
  <c r="AI134" i="5"/>
  <c r="X134" i="5"/>
  <c r="W134" i="5"/>
  <c r="V134" i="5"/>
  <c r="U134" i="5"/>
  <c r="AI133" i="5"/>
  <c r="X133" i="5"/>
  <c r="W133" i="5"/>
  <c r="V133" i="5"/>
  <c r="U133" i="5"/>
  <c r="AI132" i="5"/>
  <c r="X132" i="5"/>
  <c r="U132" i="5"/>
  <c r="AI131" i="5"/>
  <c r="U131" i="5"/>
  <c r="S159" i="5"/>
  <c r="S160" i="5"/>
  <c r="S161" i="5"/>
  <c r="S162" i="5"/>
  <c r="S163" i="5"/>
  <c r="S16" i="5"/>
  <c r="S17" i="5"/>
  <c r="S18" i="5"/>
  <c r="S164" i="5"/>
  <c r="S19" i="5"/>
  <c r="S20" i="5"/>
  <c r="S21" i="5"/>
  <c r="S22" i="5"/>
  <c r="S165" i="5"/>
  <c r="S166" i="5"/>
  <c r="S23" i="5"/>
  <c r="S24" i="5"/>
  <c r="S167" i="5"/>
  <c r="S168" i="5"/>
  <c r="S25" i="5"/>
  <c r="S26" i="5"/>
  <c r="S27" i="5"/>
  <c r="S28" i="5"/>
  <c r="S29" i="5"/>
  <c r="S30" i="5"/>
  <c r="S31" i="5"/>
  <c r="S32" i="5"/>
  <c r="S33" i="5"/>
  <c r="S169" i="5"/>
  <c r="S34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35" i="5"/>
  <c r="S36" i="5"/>
  <c r="S37" i="5"/>
  <c r="S38" i="5"/>
  <c r="S39" i="5"/>
  <c r="S40" i="5"/>
  <c r="S41" i="5"/>
  <c r="S42" i="5"/>
  <c r="S43" i="5"/>
  <c r="S44" i="5"/>
  <c r="S189" i="5"/>
  <c r="S45" i="5"/>
  <c r="S191" i="5"/>
  <c r="S46" i="5"/>
  <c r="S47" i="5"/>
  <c r="S48" i="5"/>
  <c r="S49" i="5"/>
  <c r="S50" i="5"/>
  <c r="S51" i="5"/>
  <c r="S54" i="5"/>
  <c r="S55" i="5"/>
  <c r="S56" i="5"/>
  <c r="S64" i="5"/>
  <c r="S57" i="5"/>
  <c r="S58" i="5"/>
  <c r="S52" i="5"/>
  <c r="S53" i="5"/>
  <c r="S59" i="5"/>
  <c r="S60" i="5"/>
  <c r="S146" i="5"/>
  <c r="S65" i="5"/>
  <c r="S66" i="5"/>
  <c r="S67" i="5"/>
  <c r="S68" i="5"/>
  <c r="S69" i="5"/>
  <c r="S70" i="5"/>
  <c r="S71" i="5"/>
  <c r="S72" i="5"/>
  <c r="S73" i="5"/>
  <c r="S74" i="5"/>
  <c r="S75" i="5"/>
  <c r="S76" i="5"/>
  <c r="S193" i="5"/>
  <c r="S194" i="5"/>
  <c r="S77" i="5"/>
  <c r="S83" i="5"/>
  <c r="S84" i="5"/>
  <c r="S85" i="5"/>
  <c r="S86" i="5"/>
  <c r="S87" i="5"/>
  <c r="S88" i="5"/>
  <c r="S89" i="5"/>
  <c r="S90" i="5"/>
  <c r="S104" i="5"/>
  <c r="S91" i="5"/>
  <c r="S103" i="5"/>
  <c r="S195" i="5"/>
  <c r="S92" i="5"/>
  <c r="S93" i="5"/>
  <c r="S94" i="5"/>
  <c r="S196" i="5"/>
  <c r="S105" i="5"/>
  <c r="S119" i="5"/>
  <c r="S106" i="5"/>
  <c r="S107" i="5"/>
  <c r="S120" i="5"/>
  <c r="S121" i="5"/>
  <c r="S95" i="5"/>
  <c r="S108" i="5"/>
  <c r="S109" i="5"/>
  <c r="S122" i="5"/>
  <c r="S123" i="5"/>
  <c r="S124" i="5"/>
  <c r="S110" i="5"/>
  <c r="S125" i="5"/>
  <c r="S12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5" i="5"/>
  <c r="S6" i="5"/>
  <c r="S7" i="5"/>
  <c r="S8" i="5"/>
  <c r="S9" i="5"/>
  <c r="S10" i="5"/>
  <c r="S11" i="5"/>
  <c r="S12" i="5"/>
  <c r="S13" i="5"/>
  <c r="S148" i="5"/>
  <c r="S14" i="5"/>
  <c r="S149" i="5"/>
  <c r="S15" i="5"/>
  <c r="S62" i="5"/>
  <c r="S63" i="5"/>
  <c r="S150" i="5"/>
  <c r="S151" i="5"/>
  <c r="S152" i="5"/>
  <c r="S153" i="5"/>
  <c r="S115" i="5"/>
  <c r="S155" i="5"/>
  <c r="S81" i="5"/>
  <c r="S82" i="5"/>
  <c r="S157" i="5"/>
  <c r="S158" i="5"/>
  <c r="S4" i="5"/>
  <c r="AA136" i="5" l="1"/>
  <c r="AJ136" i="5" s="1"/>
  <c r="AK136" i="5" s="1"/>
  <c r="AA133" i="5"/>
  <c r="AA134" i="5"/>
  <c r="AJ134" i="5" s="1"/>
  <c r="AK134" i="5" s="1"/>
  <c r="AA129" i="5"/>
  <c r="AJ129" i="5" s="1"/>
  <c r="AK129" i="5" s="1"/>
  <c r="AA135" i="5"/>
  <c r="AJ135" i="5" s="1"/>
  <c r="AK135" i="5" s="1"/>
  <c r="V132" i="5"/>
  <c r="W132" i="5"/>
  <c r="W131" i="5"/>
  <c r="X131" i="5"/>
  <c r="V131" i="5"/>
  <c r="AK535" i="5"/>
  <c r="AK534" i="5"/>
  <c r="AK533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47" i="5"/>
  <c r="AK118" i="5"/>
  <c r="AK117" i="5"/>
  <c r="AK102" i="5"/>
  <c r="AK101" i="5"/>
  <c r="AI126" i="5"/>
  <c r="X126" i="5"/>
  <c r="W126" i="5"/>
  <c r="V126" i="5"/>
  <c r="U126" i="5"/>
  <c r="AI125" i="5"/>
  <c r="X125" i="5"/>
  <c r="W125" i="5"/>
  <c r="V125" i="5"/>
  <c r="U125" i="5"/>
  <c r="AI110" i="5"/>
  <c r="W110" i="5"/>
  <c r="V110" i="5"/>
  <c r="U110" i="5"/>
  <c r="AI124" i="5"/>
  <c r="W124" i="5"/>
  <c r="V124" i="5"/>
  <c r="U124" i="5"/>
  <c r="AI123" i="5"/>
  <c r="W123" i="5"/>
  <c r="V123" i="5"/>
  <c r="U123" i="5"/>
  <c r="AI122" i="5"/>
  <c r="W122" i="5"/>
  <c r="V122" i="5"/>
  <c r="U122" i="5"/>
  <c r="AI109" i="5"/>
  <c r="W109" i="5"/>
  <c r="V109" i="5"/>
  <c r="U109" i="5"/>
  <c r="AI108" i="5"/>
  <c r="X108" i="5"/>
  <c r="W108" i="5"/>
  <c r="V108" i="5"/>
  <c r="U108" i="5"/>
  <c r="AI95" i="5"/>
  <c r="W95" i="5"/>
  <c r="V95" i="5"/>
  <c r="U95" i="5"/>
  <c r="AI121" i="5"/>
  <c r="X121" i="5"/>
  <c r="W121" i="5"/>
  <c r="V121" i="5"/>
  <c r="U121" i="5"/>
  <c r="AI120" i="5"/>
  <c r="X120" i="5"/>
  <c r="W120" i="5"/>
  <c r="V120" i="5"/>
  <c r="U120" i="5"/>
  <c r="AI107" i="5"/>
  <c r="X107" i="5"/>
  <c r="W107" i="5"/>
  <c r="V107" i="5"/>
  <c r="U107" i="5"/>
  <c r="AI106" i="5"/>
  <c r="X106" i="5"/>
  <c r="W106" i="5"/>
  <c r="V106" i="5"/>
  <c r="U106" i="5"/>
  <c r="AI119" i="5"/>
  <c r="X119" i="5"/>
  <c r="W119" i="5"/>
  <c r="V119" i="5"/>
  <c r="U119" i="5"/>
  <c r="AI105" i="5"/>
  <c r="X105" i="5"/>
  <c r="W105" i="5"/>
  <c r="V105" i="5"/>
  <c r="U105" i="5"/>
  <c r="AK196" i="5"/>
  <c r="AI196" i="5"/>
  <c r="X196" i="5"/>
  <c r="W196" i="5"/>
  <c r="V196" i="5"/>
  <c r="U196" i="5"/>
  <c r="AI94" i="5"/>
  <c r="X94" i="5"/>
  <c r="W94" i="5"/>
  <c r="V94" i="5"/>
  <c r="U94" i="5"/>
  <c r="AI93" i="5"/>
  <c r="X93" i="5"/>
  <c r="W93" i="5"/>
  <c r="V93" i="5"/>
  <c r="U93" i="5"/>
  <c r="AI92" i="5"/>
  <c r="X92" i="5"/>
  <c r="W92" i="5"/>
  <c r="V92" i="5"/>
  <c r="U92" i="5"/>
  <c r="AK195" i="5"/>
  <c r="AI195" i="5"/>
  <c r="X195" i="5"/>
  <c r="W195" i="5"/>
  <c r="V195" i="5"/>
  <c r="U195" i="5"/>
  <c r="AI103" i="5"/>
  <c r="X103" i="5"/>
  <c r="W103" i="5"/>
  <c r="V103" i="5"/>
  <c r="U103" i="5"/>
  <c r="AI91" i="5"/>
  <c r="X91" i="5"/>
  <c r="W91" i="5"/>
  <c r="V91" i="5"/>
  <c r="U91" i="5"/>
  <c r="AI104" i="5"/>
  <c r="X104" i="5"/>
  <c r="W104" i="5"/>
  <c r="V104" i="5"/>
  <c r="U104" i="5"/>
  <c r="AI90" i="5"/>
  <c r="AA90" i="5"/>
  <c r="AI89" i="5"/>
  <c r="AA89" i="5"/>
  <c r="AI88" i="5"/>
  <c r="X88" i="5"/>
  <c r="W88" i="5"/>
  <c r="V88" i="5"/>
  <c r="U88" i="5"/>
  <c r="AI87" i="5"/>
  <c r="X87" i="5"/>
  <c r="W87" i="5"/>
  <c r="V87" i="5"/>
  <c r="U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77" i="5"/>
  <c r="X77" i="5"/>
  <c r="W77" i="5"/>
  <c r="V77" i="5"/>
  <c r="U77" i="5"/>
  <c r="AI194" i="5"/>
  <c r="X194" i="5"/>
  <c r="U194" i="5"/>
  <c r="AK193" i="5"/>
  <c r="AI193" i="5"/>
  <c r="X193" i="5"/>
  <c r="W193" i="5"/>
  <c r="V193" i="5"/>
  <c r="U193" i="5"/>
  <c r="AI76" i="5"/>
  <c r="X76" i="5"/>
  <c r="W76" i="5"/>
  <c r="V76" i="5"/>
  <c r="U76" i="5"/>
  <c r="AI75" i="5"/>
  <c r="X75" i="5"/>
  <c r="W75" i="5"/>
  <c r="V75" i="5"/>
  <c r="U75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146" i="5"/>
  <c r="X146" i="5"/>
  <c r="W146" i="5"/>
  <c r="V146" i="5"/>
  <c r="U146" i="5"/>
  <c r="AI60" i="5"/>
  <c r="X60" i="5"/>
  <c r="W60" i="5"/>
  <c r="V60" i="5"/>
  <c r="U60" i="5"/>
  <c r="AI59" i="5"/>
  <c r="X59" i="5"/>
  <c r="W59" i="5"/>
  <c r="V59" i="5"/>
  <c r="U59" i="5"/>
  <c r="AI53" i="5"/>
  <c r="X53" i="5"/>
  <c r="W53" i="5"/>
  <c r="V53" i="5"/>
  <c r="U53" i="5"/>
  <c r="AI52" i="5"/>
  <c r="X52" i="5"/>
  <c r="W52" i="5"/>
  <c r="V52" i="5"/>
  <c r="U52" i="5"/>
  <c r="AI58" i="5"/>
  <c r="X58" i="5"/>
  <c r="W58" i="5"/>
  <c r="V58" i="5"/>
  <c r="U58" i="5"/>
  <c r="AI57" i="5"/>
  <c r="X57" i="5"/>
  <c r="W57" i="5"/>
  <c r="V57" i="5"/>
  <c r="U57" i="5"/>
  <c r="AI64" i="5"/>
  <c r="X64" i="5"/>
  <c r="W64" i="5"/>
  <c r="V64" i="5"/>
  <c r="U64" i="5"/>
  <c r="AI56" i="5"/>
  <c r="X56" i="5"/>
  <c r="W56" i="5"/>
  <c r="V56" i="5"/>
  <c r="U56" i="5"/>
  <c r="AI55" i="5"/>
  <c r="X55" i="5"/>
  <c r="W55" i="5"/>
  <c r="V55" i="5"/>
  <c r="U55" i="5"/>
  <c r="AI54" i="5"/>
  <c r="X54" i="5"/>
  <c r="W54" i="5"/>
  <c r="V54" i="5"/>
  <c r="U54" i="5"/>
  <c r="AI192" i="5"/>
  <c r="X192" i="5"/>
  <c r="W192" i="5"/>
  <c r="T192" i="5"/>
  <c r="AI51" i="5"/>
  <c r="X51" i="5"/>
  <c r="W51" i="5"/>
  <c r="V51" i="5"/>
  <c r="U51" i="5"/>
  <c r="AI50" i="5"/>
  <c r="X50" i="5"/>
  <c r="W50" i="5"/>
  <c r="V50" i="5"/>
  <c r="U50" i="5"/>
  <c r="AI49" i="5"/>
  <c r="X49" i="5"/>
  <c r="W49" i="5"/>
  <c r="U49" i="5"/>
  <c r="AI48" i="5"/>
  <c r="X48" i="5"/>
  <c r="W48" i="5"/>
  <c r="U48" i="5"/>
  <c r="AI47" i="5"/>
  <c r="X47" i="5"/>
  <c r="W47" i="5"/>
  <c r="V47" i="5"/>
  <c r="U47" i="5"/>
  <c r="AI46" i="5"/>
  <c r="X46" i="5"/>
  <c r="W46" i="5"/>
  <c r="V46" i="5"/>
  <c r="U46" i="5"/>
  <c r="AI191" i="5"/>
  <c r="X191" i="5"/>
  <c r="W191" i="5"/>
  <c r="V191" i="5"/>
  <c r="U191" i="5"/>
  <c r="AI45" i="5"/>
  <c r="X45" i="5"/>
  <c r="W45" i="5"/>
  <c r="V45" i="5"/>
  <c r="U45" i="5"/>
  <c r="V190" i="5"/>
  <c r="U190" i="5"/>
  <c r="AK189" i="5"/>
  <c r="AI189" i="5"/>
  <c r="X189" i="5"/>
  <c r="W189" i="5"/>
  <c r="V189" i="5"/>
  <c r="U189" i="5"/>
  <c r="AI44" i="5"/>
  <c r="X44" i="5"/>
  <c r="W44" i="5"/>
  <c r="V44" i="5"/>
  <c r="U44" i="5"/>
  <c r="AI43" i="5"/>
  <c r="X43" i="5"/>
  <c r="W43" i="5"/>
  <c r="V43" i="5"/>
  <c r="U43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K188" i="5"/>
  <c r="AI188" i="5"/>
  <c r="X188" i="5"/>
  <c r="W188" i="5"/>
  <c r="V188" i="5"/>
  <c r="U188" i="5"/>
  <c r="AK187" i="5"/>
  <c r="AI187" i="5"/>
  <c r="X187" i="5"/>
  <c r="W187" i="5"/>
  <c r="V187" i="5"/>
  <c r="U187" i="5"/>
  <c r="AK186" i="5"/>
  <c r="AI186" i="5"/>
  <c r="X186" i="5"/>
  <c r="W186" i="5"/>
  <c r="V186" i="5"/>
  <c r="U186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I170" i="5"/>
  <c r="X170" i="5"/>
  <c r="V170" i="5"/>
  <c r="U170" i="5"/>
  <c r="AI34" i="5"/>
  <c r="X34" i="5"/>
  <c r="W34" i="5"/>
  <c r="V34" i="5"/>
  <c r="U34" i="5"/>
  <c r="AI169" i="5"/>
  <c r="X169" i="5"/>
  <c r="W169" i="5"/>
  <c r="V169" i="5"/>
  <c r="U169" i="5"/>
  <c r="AI33" i="5"/>
  <c r="X33" i="5"/>
  <c r="W33" i="5"/>
  <c r="V33" i="5"/>
  <c r="U33" i="5"/>
  <c r="AI32" i="5"/>
  <c r="X32" i="5"/>
  <c r="W32" i="5"/>
  <c r="V32" i="5"/>
  <c r="U32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168" i="5"/>
  <c r="X168" i="5"/>
  <c r="W168" i="5"/>
  <c r="V168" i="5"/>
  <c r="U168" i="5"/>
  <c r="AI167" i="5"/>
  <c r="X167" i="5"/>
  <c r="V167" i="5"/>
  <c r="U167" i="5"/>
  <c r="AI24" i="5"/>
  <c r="X24" i="5"/>
  <c r="W24" i="5"/>
  <c r="V24" i="5"/>
  <c r="U24" i="5"/>
  <c r="AI23" i="5"/>
  <c r="X23" i="5"/>
  <c r="W23" i="5"/>
  <c r="V23" i="5"/>
  <c r="U23" i="5"/>
  <c r="AI166" i="5"/>
  <c r="X166" i="5"/>
  <c r="W166" i="5"/>
  <c r="V166" i="5"/>
  <c r="U166" i="5"/>
  <c r="AI165" i="5"/>
  <c r="X165" i="5"/>
  <c r="V165" i="5"/>
  <c r="U165" i="5"/>
  <c r="AI22" i="5"/>
  <c r="X22" i="5"/>
  <c r="W22" i="5"/>
  <c r="V22" i="5"/>
  <c r="U22" i="5"/>
  <c r="AI21" i="5"/>
  <c r="X21" i="5"/>
  <c r="W21" i="5"/>
  <c r="V21" i="5"/>
  <c r="U21" i="5"/>
  <c r="AI20" i="5"/>
  <c r="X20" i="5"/>
  <c r="W20" i="5"/>
  <c r="V20" i="5"/>
  <c r="U20" i="5"/>
  <c r="AI19" i="5"/>
  <c r="X19" i="5"/>
  <c r="W19" i="5"/>
  <c r="V19" i="5"/>
  <c r="U19" i="5"/>
  <c r="AC164" i="5"/>
  <c r="AI164" i="5" s="1"/>
  <c r="X164" i="5"/>
  <c r="V164" i="5"/>
  <c r="U164" i="5"/>
  <c r="AI18" i="5"/>
  <c r="X18" i="5"/>
  <c r="W18" i="5"/>
  <c r="V18" i="5"/>
  <c r="U18" i="5"/>
  <c r="AI17" i="5"/>
  <c r="X17" i="5"/>
  <c r="W17" i="5"/>
  <c r="V17" i="5"/>
  <c r="U17" i="5"/>
  <c r="AI16" i="5"/>
  <c r="X16" i="5"/>
  <c r="W16" i="5"/>
  <c r="V16" i="5"/>
  <c r="U16" i="5"/>
  <c r="AI163" i="5"/>
  <c r="X163" i="5"/>
  <c r="V163" i="5"/>
  <c r="U163" i="5"/>
  <c r="X162" i="5"/>
  <c r="W162" i="5"/>
  <c r="V162" i="5"/>
  <c r="U162" i="5"/>
  <c r="AI161" i="5"/>
  <c r="X161" i="5"/>
  <c r="W161" i="5"/>
  <c r="V161" i="5"/>
  <c r="U161" i="5"/>
  <c r="AI160" i="5"/>
  <c r="X160" i="5"/>
  <c r="W160" i="5"/>
  <c r="V160" i="5"/>
  <c r="U160" i="5"/>
  <c r="AI159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82" i="5"/>
  <c r="AA82" i="5"/>
  <c r="AK156" i="5"/>
  <c r="AI156" i="5"/>
  <c r="X156" i="5"/>
  <c r="AA156" i="5" s="1"/>
  <c r="AI81" i="5"/>
  <c r="AA81" i="5"/>
  <c r="AK155" i="5"/>
  <c r="AI155" i="5"/>
  <c r="X155" i="5"/>
  <c r="W155" i="5"/>
  <c r="AK154" i="5"/>
  <c r="AI154" i="5"/>
  <c r="X154" i="5"/>
  <c r="AA154" i="5" s="1"/>
  <c r="AI115" i="5"/>
  <c r="X115" i="5"/>
  <c r="AA115" i="5" s="1"/>
  <c r="AK153" i="5"/>
  <c r="AI153" i="5"/>
  <c r="X153" i="5"/>
  <c r="AA153" i="5" s="1"/>
  <c r="AI114" i="5"/>
  <c r="X114" i="5"/>
  <c r="AA114" i="5" s="1"/>
  <c r="AI113" i="5"/>
  <c r="X113" i="5"/>
  <c r="AA113" i="5" s="1"/>
  <c r="AI100" i="5"/>
  <c r="X100" i="5"/>
  <c r="AA100" i="5" s="1"/>
  <c r="AK152" i="5"/>
  <c r="AI152" i="5"/>
  <c r="X152" i="5"/>
  <c r="W152" i="5"/>
  <c r="AI99" i="5"/>
  <c r="X99" i="5"/>
  <c r="W99" i="5"/>
  <c r="AK151" i="5"/>
  <c r="AI151" i="5"/>
  <c r="X151" i="5"/>
  <c r="W151" i="5"/>
  <c r="AK150" i="5"/>
  <c r="AI150" i="5"/>
  <c r="X150" i="5"/>
  <c r="W150" i="5"/>
  <c r="AI63" i="5"/>
  <c r="X63" i="5"/>
  <c r="W63" i="5"/>
  <c r="AI62" i="5"/>
  <c r="X62" i="5"/>
  <c r="W62" i="5"/>
  <c r="AI15" i="5"/>
  <c r="X15" i="5"/>
  <c r="W15" i="5"/>
  <c r="AK149" i="5"/>
  <c r="AI149" i="5"/>
  <c r="X149" i="5"/>
  <c r="W149" i="5"/>
  <c r="AI14" i="5"/>
  <c r="X14" i="5"/>
  <c r="W14" i="5"/>
  <c r="AK148" i="5"/>
  <c r="AI148" i="5"/>
  <c r="X148" i="5"/>
  <c r="W148" i="5"/>
  <c r="AI13" i="5"/>
  <c r="X13" i="5"/>
  <c r="W13" i="5"/>
  <c r="AI12" i="5"/>
  <c r="X12" i="5"/>
  <c r="W12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AA5" i="5"/>
  <c r="AI4" i="5"/>
  <c r="X4" i="5"/>
  <c r="V4" i="5"/>
  <c r="W4" i="5"/>
  <c r="Y4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3" i="5" l="1"/>
  <c r="AK133" i="5" s="1"/>
  <c r="AA132" i="5"/>
  <c r="AJ132" i="5" s="1"/>
  <c r="AK132" i="5" s="1"/>
  <c r="G27" i="4"/>
  <c r="J27" i="4" s="1"/>
  <c r="K27" i="4" s="1"/>
  <c r="AA131" i="5"/>
  <c r="AJ131" i="5" s="1"/>
  <c r="AK131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100" i="5"/>
  <c r="AK100" i="5" s="1"/>
  <c r="AA10" i="5"/>
  <c r="AJ10" i="5" s="1"/>
  <c r="AA14" i="5"/>
  <c r="AJ14" i="5" s="1"/>
  <c r="AJ81" i="5"/>
  <c r="AK81" i="5" s="1"/>
  <c r="AJ82" i="5"/>
  <c r="AA122" i="5"/>
  <c r="AJ122" i="5" s="1"/>
  <c r="AK122" i="5" s="1"/>
  <c r="AA63" i="5"/>
  <c r="AJ63" i="5" s="1"/>
  <c r="AJ5" i="5"/>
  <c r="AK5" i="5" s="1"/>
  <c r="AA8" i="5"/>
  <c r="AJ8" i="5" s="1"/>
  <c r="AK8" i="5" s="1"/>
  <c r="AJ154" i="5"/>
  <c r="AA9" i="5"/>
  <c r="AJ9" i="5" s="1"/>
  <c r="AA124" i="5"/>
  <c r="AJ124" i="5" s="1"/>
  <c r="AK124" i="5" s="1"/>
  <c r="AA155" i="5"/>
  <c r="AJ155" i="5" s="1"/>
  <c r="AA177" i="5"/>
  <c r="AJ177" i="5" s="1"/>
  <c r="AA13" i="5"/>
  <c r="AJ13" i="5" s="1"/>
  <c r="AK13" i="5" s="1"/>
  <c r="AA41" i="5"/>
  <c r="AJ41" i="5" s="1"/>
  <c r="AK41" i="5" s="1"/>
  <c r="AA148" i="5"/>
  <c r="AJ148" i="5" s="1"/>
  <c r="AA152" i="5"/>
  <c r="AJ152" i="5" s="1"/>
  <c r="AA75" i="5"/>
  <c r="AJ75" i="5" s="1"/>
  <c r="AA194" i="5"/>
  <c r="AJ194" i="5" s="1"/>
  <c r="AA149" i="5"/>
  <c r="AJ149" i="5" s="1"/>
  <c r="Y159" i="5"/>
  <c r="AA159" i="5" s="1"/>
  <c r="AJ159" i="5" s="1"/>
  <c r="AA18" i="5"/>
  <c r="AJ18" i="5" s="1"/>
  <c r="AK18" i="5" s="1"/>
  <c r="AA22" i="5"/>
  <c r="AJ22" i="5" s="1"/>
  <c r="AK22" i="5" s="1"/>
  <c r="AA173" i="5"/>
  <c r="AJ173" i="5" s="1"/>
  <c r="AA91" i="5"/>
  <c r="AJ91" i="5" s="1"/>
  <c r="AK91" i="5" s="1"/>
  <c r="AA50" i="5"/>
  <c r="AJ50" i="5" s="1"/>
  <c r="AA12" i="5"/>
  <c r="AJ12" i="5" s="1"/>
  <c r="AK12" i="5" s="1"/>
  <c r="AJ153" i="5"/>
  <c r="AA43" i="5"/>
  <c r="AJ43" i="5" s="1"/>
  <c r="AA189" i="5"/>
  <c r="AJ189" i="5" s="1"/>
  <c r="AA7" i="5"/>
  <c r="AJ7" i="5" s="1"/>
  <c r="Y160" i="5"/>
  <c r="AA160" i="5" s="1"/>
  <c r="AJ160" i="5" s="1"/>
  <c r="AA172" i="5"/>
  <c r="AJ172" i="5" s="1"/>
  <c r="AA60" i="5"/>
  <c r="AJ60" i="5" s="1"/>
  <c r="AA71" i="5"/>
  <c r="AJ71" i="5" s="1"/>
  <c r="AA77" i="5"/>
  <c r="AJ77" i="5" s="1"/>
  <c r="AK77" i="5" s="1"/>
  <c r="AA109" i="5"/>
  <c r="AJ109" i="5" s="1"/>
  <c r="AK109" i="5" s="1"/>
  <c r="AA150" i="5"/>
  <c r="AJ150" i="5" s="1"/>
  <c r="AJ115" i="5"/>
  <c r="AK115" i="5" s="1"/>
  <c r="AA123" i="5"/>
  <c r="AJ123" i="5" s="1"/>
  <c r="AK123" i="5" s="1"/>
  <c r="AA11" i="5"/>
  <c r="AJ11" i="5" s="1"/>
  <c r="AA15" i="5"/>
  <c r="AJ15" i="5" s="1"/>
  <c r="AA38" i="5"/>
  <c r="AJ38" i="5" s="1"/>
  <c r="AA68" i="5"/>
  <c r="AJ68" i="5" s="1"/>
  <c r="AA163" i="5"/>
  <c r="AJ163" i="5" s="1"/>
  <c r="AK163" i="5" s="1"/>
  <c r="AA185" i="5"/>
  <c r="AJ185" i="5" s="1"/>
  <c r="AA66" i="5"/>
  <c r="AJ66" i="5" s="1"/>
  <c r="AK66" i="5" s="1"/>
  <c r="AA74" i="5"/>
  <c r="AJ74" i="5" s="1"/>
  <c r="AA184" i="5"/>
  <c r="AJ184" i="5" s="1"/>
  <c r="AA48" i="5"/>
  <c r="AJ48" i="5" s="1"/>
  <c r="AK48" i="5" s="1"/>
  <c r="AA70" i="5"/>
  <c r="AJ70" i="5" s="1"/>
  <c r="AJ89" i="5"/>
  <c r="AA196" i="5"/>
  <c r="AJ196" i="5" s="1"/>
  <c r="AA34" i="5"/>
  <c r="AJ34" i="5" s="1"/>
  <c r="AK34" i="5" s="1"/>
  <c r="AA40" i="5"/>
  <c r="AJ40" i="5" s="1"/>
  <c r="AK40" i="5" s="1"/>
  <c r="AA42" i="5"/>
  <c r="AJ42" i="5" s="1"/>
  <c r="AA146" i="5"/>
  <c r="AJ146" i="5" s="1"/>
  <c r="AA72" i="5"/>
  <c r="AJ72" i="5" s="1"/>
  <c r="AA73" i="5"/>
  <c r="AJ73" i="5" s="1"/>
  <c r="AA76" i="5"/>
  <c r="AJ76" i="5" s="1"/>
  <c r="AA83" i="5"/>
  <c r="AJ83" i="5" s="1"/>
  <c r="AA168" i="5"/>
  <c r="AJ168" i="5" s="1"/>
  <c r="AK168" i="5" s="1"/>
  <c r="AA32" i="5"/>
  <c r="AJ32" i="5" s="1"/>
  <c r="AA169" i="5"/>
  <c r="AJ169" i="5" s="1"/>
  <c r="AK169" i="5" s="1"/>
  <c r="AA151" i="5"/>
  <c r="AJ151" i="5" s="1"/>
  <c r="AA174" i="5"/>
  <c r="AJ174" i="5" s="1"/>
  <c r="AA85" i="5"/>
  <c r="AJ85" i="5" s="1"/>
  <c r="AA26" i="5"/>
  <c r="AJ26" i="5" s="1"/>
  <c r="AA46" i="5"/>
  <c r="AJ46" i="5" s="1"/>
  <c r="AA57" i="5"/>
  <c r="AJ57" i="5" s="1"/>
  <c r="AA53" i="5"/>
  <c r="AJ53" i="5" s="1"/>
  <c r="AA193" i="5"/>
  <c r="AJ193" i="5" s="1"/>
  <c r="AA121" i="5"/>
  <c r="AJ121" i="5" s="1"/>
  <c r="AA110" i="5"/>
  <c r="AJ110" i="5" s="1"/>
  <c r="AK110" i="5" s="1"/>
  <c r="Y161" i="5"/>
  <c r="AA161" i="5" s="1"/>
  <c r="AJ161" i="5" s="1"/>
  <c r="AJ114" i="5"/>
  <c r="AA158" i="5"/>
  <c r="AJ158" i="5" s="1"/>
  <c r="AK158" i="5" s="1"/>
  <c r="AA88" i="5"/>
  <c r="AJ88" i="5" s="1"/>
  <c r="AK88" i="5" s="1"/>
  <c r="AJ90" i="5"/>
  <c r="AK90" i="5" s="1"/>
  <c r="AA108" i="5"/>
  <c r="AJ108" i="5" s="1"/>
  <c r="AA126" i="5"/>
  <c r="AJ126" i="5" s="1"/>
  <c r="AA29" i="5"/>
  <c r="AJ29" i="5" s="1"/>
  <c r="AA69" i="5"/>
  <c r="AJ69" i="5" s="1"/>
  <c r="AK69" i="5" s="1"/>
  <c r="AA6" i="5"/>
  <c r="AJ6" i="5" s="1"/>
  <c r="AK6" i="5" s="1"/>
  <c r="AA28" i="5"/>
  <c r="AJ28" i="5" s="1"/>
  <c r="AA170" i="5"/>
  <c r="AJ170" i="5" s="1"/>
  <c r="AA178" i="5"/>
  <c r="AJ178" i="5" s="1"/>
  <c r="AA191" i="5"/>
  <c r="AJ191" i="5" s="1"/>
  <c r="AK191" i="5" s="1"/>
  <c r="AA51" i="5"/>
  <c r="AJ51" i="5" s="1"/>
  <c r="AK51" i="5" s="1"/>
  <c r="AA87" i="5"/>
  <c r="AJ87" i="5" s="1"/>
  <c r="AA104" i="5"/>
  <c r="AJ104" i="5" s="1"/>
  <c r="AA120" i="5"/>
  <c r="AJ120" i="5" s="1"/>
  <c r="AK120" i="5" s="1"/>
  <c r="AA182" i="5"/>
  <c r="AJ182" i="5" s="1"/>
  <c r="AA56" i="5"/>
  <c r="AJ56" i="5" s="1"/>
  <c r="AA84" i="5"/>
  <c r="AJ84" i="5" s="1"/>
  <c r="AK84" i="5" s="1"/>
  <c r="AA119" i="5"/>
  <c r="AJ119" i="5" s="1"/>
  <c r="AA176" i="5"/>
  <c r="AJ176" i="5" s="1"/>
  <c r="AJ156" i="5"/>
  <c r="AA157" i="5"/>
  <c r="AJ157" i="5" s="1"/>
  <c r="AA16" i="5"/>
  <c r="AJ16" i="5" s="1"/>
  <c r="AA164" i="5"/>
  <c r="AJ164" i="5" s="1"/>
  <c r="AK164" i="5" s="1"/>
  <c r="AA181" i="5"/>
  <c r="AJ181" i="5" s="1"/>
  <c r="AA36" i="5"/>
  <c r="AJ36" i="5" s="1"/>
  <c r="AJ113" i="5"/>
  <c r="AK113" i="5" s="1"/>
  <c r="AA20" i="5"/>
  <c r="AJ20" i="5" s="1"/>
  <c r="AK20" i="5" s="1"/>
  <c r="AA24" i="5"/>
  <c r="AJ24" i="5" s="1"/>
  <c r="AK24" i="5" s="1"/>
  <c r="AA39" i="5"/>
  <c r="AJ39" i="5" s="1"/>
  <c r="AA44" i="5"/>
  <c r="AJ44" i="5" s="1"/>
  <c r="AK44" i="5" s="1"/>
  <c r="AA47" i="5"/>
  <c r="AJ47" i="5" s="1"/>
  <c r="AA192" i="5"/>
  <c r="AJ192" i="5" s="1"/>
  <c r="AA58" i="5"/>
  <c r="AJ58" i="5" s="1"/>
  <c r="AA86" i="5"/>
  <c r="AJ86" i="5" s="1"/>
  <c r="AK86" i="5" s="1"/>
  <c r="AA103" i="5"/>
  <c r="AJ103" i="5" s="1"/>
  <c r="AA93" i="5"/>
  <c r="AJ93" i="5" s="1"/>
  <c r="AA105" i="5"/>
  <c r="AJ105" i="5" s="1"/>
  <c r="AA107" i="5"/>
  <c r="AJ107" i="5" s="1"/>
  <c r="AK107" i="5" s="1"/>
  <c r="AA30" i="5"/>
  <c r="AJ30" i="5" s="1"/>
  <c r="AA171" i="5"/>
  <c r="AJ171" i="5" s="1"/>
  <c r="AA175" i="5"/>
  <c r="AJ175" i="5" s="1"/>
  <c r="AA179" i="5"/>
  <c r="AJ179" i="5" s="1"/>
  <c r="AA35" i="5"/>
  <c r="AJ35" i="5" s="1"/>
  <c r="AA23" i="5"/>
  <c r="AJ23" i="5" s="1"/>
  <c r="AA62" i="5"/>
  <c r="AJ62" i="5" s="1"/>
  <c r="AA99" i="5"/>
  <c r="AJ99" i="5" s="1"/>
  <c r="AA17" i="5"/>
  <c r="AJ17" i="5" s="1"/>
  <c r="AA165" i="5"/>
  <c r="AJ165" i="5" s="1"/>
  <c r="AA166" i="5"/>
  <c r="AJ166" i="5" s="1"/>
  <c r="AA27" i="5"/>
  <c r="AJ27" i="5" s="1"/>
  <c r="AA21" i="5"/>
  <c r="AJ21" i="5" s="1"/>
  <c r="AA25" i="5"/>
  <c r="AJ25" i="5" s="1"/>
  <c r="AA33" i="5"/>
  <c r="AJ33" i="5" s="1"/>
  <c r="AA167" i="5"/>
  <c r="AJ167" i="5" s="1"/>
  <c r="AA4" i="5"/>
  <c r="AJ4" i="5" s="1"/>
  <c r="AA162" i="5"/>
  <c r="AA19" i="5"/>
  <c r="AJ19" i="5" s="1"/>
  <c r="AA31" i="5"/>
  <c r="AJ31" i="5" s="1"/>
  <c r="AA49" i="5"/>
  <c r="AJ49" i="5" s="1"/>
  <c r="AA187" i="5"/>
  <c r="AJ187" i="5" s="1"/>
  <c r="AA180" i="5"/>
  <c r="AJ180" i="5" s="1"/>
  <c r="AA188" i="5"/>
  <c r="AJ188" i="5" s="1"/>
  <c r="AA55" i="5"/>
  <c r="AJ55" i="5" s="1"/>
  <c r="AA183" i="5"/>
  <c r="AJ183" i="5" s="1"/>
  <c r="AA37" i="5"/>
  <c r="AJ37" i="5" s="1"/>
  <c r="AA52" i="5"/>
  <c r="AJ52" i="5" s="1"/>
  <c r="AA67" i="5"/>
  <c r="AJ67" i="5" s="1"/>
  <c r="AA186" i="5"/>
  <c r="AJ186" i="5" s="1"/>
  <c r="AA45" i="5"/>
  <c r="AJ45" i="5" s="1"/>
  <c r="AA64" i="5"/>
  <c r="AJ64" i="5" s="1"/>
  <c r="AA65" i="5"/>
  <c r="AJ65" i="5" s="1"/>
  <c r="AA59" i="5"/>
  <c r="AJ59" i="5" s="1"/>
  <c r="AA54" i="5"/>
  <c r="AJ54" i="5" s="1"/>
  <c r="AA92" i="5"/>
  <c r="AJ92" i="5" s="1"/>
  <c r="AA125" i="5"/>
  <c r="AJ125" i="5" s="1"/>
  <c r="AA94" i="5"/>
  <c r="AJ94" i="5" s="1"/>
  <c r="AA195" i="5"/>
  <c r="AJ195" i="5" s="1"/>
  <c r="AA106" i="5"/>
  <c r="AJ106" i="5" s="1"/>
  <c r="AA95" i="5"/>
  <c r="AJ95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9" i="5" l="1"/>
  <c r="AK157" i="5"/>
  <c r="AK47" i="5"/>
  <c r="AK63" i="5"/>
  <c r="AK76" i="5"/>
  <c r="AK82" i="5"/>
  <c r="AK71" i="5"/>
  <c r="AK170" i="5"/>
  <c r="AK53" i="5"/>
  <c r="AK38" i="5"/>
  <c r="AK28" i="5"/>
  <c r="AK159" i="5"/>
  <c r="AK43" i="5"/>
  <c r="AK32" i="5"/>
  <c r="AK26" i="5"/>
  <c r="AK7" i="5"/>
  <c r="AK146" i="5"/>
  <c r="AK57" i="5"/>
  <c r="AK108" i="5"/>
  <c r="AK72" i="5"/>
  <c r="AK70" i="5"/>
  <c r="AK9" i="5"/>
  <c r="AK192" i="5"/>
  <c r="AK83" i="5"/>
  <c r="AK74" i="5"/>
  <c r="AK11" i="5"/>
  <c r="AK75" i="5"/>
  <c r="AK29" i="5"/>
  <c r="AK50" i="5"/>
  <c r="AK85" i="5"/>
  <c r="AK73" i="5"/>
  <c r="AK114" i="5"/>
  <c r="AK93" i="5"/>
  <c r="AK105" i="5"/>
  <c r="AK15" i="5"/>
  <c r="AK56" i="5"/>
  <c r="AK39" i="5"/>
  <c r="AK36" i="5"/>
  <c r="AK14" i="5"/>
  <c r="AK126" i="5"/>
  <c r="AK60" i="5"/>
  <c r="AK16" i="5"/>
  <c r="AK87" i="5"/>
  <c r="AK46" i="5"/>
  <c r="AK10" i="5"/>
  <c r="AK95" i="5"/>
  <c r="AK94" i="5"/>
  <c r="AK31" i="5"/>
  <c r="AK166" i="5"/>
  <c r="AK67" i="5"/>
  <c r="AK35" i="5"/>
  <c r="AK106" i="5"/>
  <c r="AK104" i="5"/>
  <c r="AK121" i="5"/>
  <c r="AK65" i="5"/>
  <c r="AK52" i="5"/>
  <c r="AK19" i="5"/>
  <c r="AK167" i="5"/>
  <c r="AK161" i="5"/>
  <c r="AK165" i="5"/>
  <c r="AK27" i="5"/>
  <c r="AK119" i="5"/>
  <c r="AK58" i="5"/>
  <c r="AK37" i="5"/>
  <c r="AK33" i="5"/>
  <c r="AK23" i="5"/>
  <c r="AK103" i="5"/>
  <c r="AK64" i="5"/>
  <c r="AK49" i="5"/>
  <c r="AC162" i="5"/>
  <c r="AI162" i="5" s="1"/>
  <c r="AJ162" i="5" s="1"/>
  <c r="AK25" i="5"/>
  <c r="AK17" i="5"/>
  <c r="AK30" i="5"/>
  <c r="AK125" i="5"/>
  <c r="AK68" i="5"/>
  <c r="AK45" i="5"/>
  <c r="AK21" i="5"/>
  <c r="AK160" i="5"/>
  <c r="AK92" i="5"/>
  <c r="AK59" i="5"/>
  <c r="AK55" i="5"/>
  <c r="AK4" i="5"/>
  <c r="AK99" i="5"/>
  <c r="AK54" i="5"/>
  <c r="AK194" i="5"/>
  <c r="AK42" i="5"/>
  <c r="AK62" i="5"/>
  <c r="G32" i="4"/>
  <c r="B39" i="4" s="1"/>
  <c r="B38" i="4"/>
  <c r="J10" i="4"/>
  <c r="AK162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B865CCE1-B222-4463-8D2C-91375B03D2C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J2" authorId="0" shapeId="0" xr:uid="{819E7907-DFDC-4D37-ACFF-B6EDF6263B8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lo anterior
</t>
        </r>
      </text>
    </comment>
    <comment ref="J3" authorId="0" shapeId="0" xr:uid="{8FE4A2D2-F838-4683-9776-61EFE63E41A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lo anterior</t>
        </r>
      </text>
    </comment>
    <comment ref="AB108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9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0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4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5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6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<sst xmlns="http://schemas.openxmlformats.org/spreadsheetml/2006/main" count="2165" uniqueCount="376">
  <si>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</si>
  <si>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</si>
  <si>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</si>
  <si>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</si>
  <si>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</si>
  <si>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</si>
  <si>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</si>
  <si>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</si>
  <si>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</si>
  <si>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</si>
  <si>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</si>
  <si>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</si>
  <si>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</si>
  <si>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</si>
  <si>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</si>
  <si>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</si>
  <si>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</si>
  <si>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</si>
  <si>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</si>
  <si>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</si>
  <si>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</si>
  <si>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</si>
  <si>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</si>
  <si>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</si>
  <si>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</si>
  <si>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</si>
  <si>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</si>
  <si>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</si>
  <si>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</si>
  <si>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</si>
  <si>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</si>
  <si>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</si>
  <si>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</si>
  <si>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</si>
  <si>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</si>
  <si>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</si>
  <si>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</si>
  <si>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</si>
  <si>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</si>
  <si>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</si>
  <si>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</si>
  <si>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</si>
  <si>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</si>
  <si>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</si>
  <si>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</si>
  <si>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</si>
  <si>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</si>
  <si>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</si>
  <si>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</si>
  <si>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</si>
  <si>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</si>
  <si>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</si>
  <si>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</si>
  <si>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</si>
  <si>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</si>
  <si>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</si>
  <si>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</si>
  <si>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</si>
  <si>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</si>
  <si>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</si>
  <si>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</si>
  <si>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</si>
  <si>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</si>
  <si>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</si>
  <si>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</si>
  <si>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</si>
  <si>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</si>
  <si>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</si>
  <si>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</si>
  <si>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</si>
  <si>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</si>
  <si>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</si>
  <si>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</si>
  <si>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</si>
  <si>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</si>
  <si>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</si>
  <si>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</si>
  <si>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</si>
  <si>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</si>
  <si>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</si>
  <si>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</si>
  <si>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</si>
  <si>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</si>
  <si>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</si>
  <si>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</si>
  <si>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</si>
  <si>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</si>
  <si>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</si>
  <si>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</si>
  <si>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</si>
  <si>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</si>
  <si>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</si>
  <si>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</si>
  <si>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</si>
  <si>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</si>
  <si>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</si>
  <si>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</si>
  <si>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</si>
  <si>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</si>
  <si>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</si>
  <si>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</si>
  <si>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</si>
  <si>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</si>
  <si>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</si>
  <si>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</si>
  <si>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</si>
  <si>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</si>
  <si>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</si>
  <si>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</si>
  <si>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</si>
  <si>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</si>
  <si>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</si>
  <si>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</si>
  <si>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</si>
  <si>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</si>
  <si>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</si>
  <si>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</si>
  <si>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</si>
  <si>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</si>
  <si>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</si>
  <si>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</si>
  <si>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</si>
  <si>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</si>
  <si>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</si>
  <si>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</si>
  <si>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</si>
  <si>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</si>
  <si>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</si>
  <si>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</si>
  <si>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</si>
  <si>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</si>
  <si>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</si>
  <si>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</si>
  <si>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</si>
  <si>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</si>
  <si>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</si>
  <si>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</si>
  <si>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</si>
  <si>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</si>
  <si>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</si>
  <si>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</si>
  <si>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</si>
  <si>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</si>
  <si>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</si>
  <si>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</si>
  <si>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</si>
  <si>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</si>
  <si>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</si>
  <si>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</si>
  <si>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</si>
  <si>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</si>
  <si>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</si>
  <si>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</si>
  <si>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</si>
  <si>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</si>
  <si>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</si>
  <si>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</si>
  <si>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</si>
  <si>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</si>
  <si>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</si>
  <si>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</si>
  <si>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</si>
  <si>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</si>
  <si>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</si>
  <si>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</si>
  <si>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</si>
  <si>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</si>
  <si>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</si>
  <si>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</si>
  <si>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</si>
  <si>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</si>
  <si>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</si>
  <si>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</si>
  <si>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</si>
  <si>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</si>
  <si>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</si>
  <si>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</si>
  <si>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</si>
  <si>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</si>
  <si>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</si>
  <si>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</si>
  <si>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</si>
  <si>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</si>
  <si>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</si>
  <si>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</si>
  <si>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</si>
  <si>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</si>
  <si>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</si>
  <si>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</si>
  <si>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</si>
  <si>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</si>
  <si>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</si>
  <si>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</si>
  <si>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</si>
  <si>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</si>
  <si>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</si>
  <si>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</si>
  <si>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</si>
  <si>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</si>
  <si>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</si>
  <si>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</si>
  <si>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</si>
  <si>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</si>
  <si>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</si>
  <si>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</si>
  <si>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</si>
  <si>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</si>
  <si>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</si>
  <si>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</si>
  <si>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</si>
  <si>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</si>
  <si>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</si>
  <si>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</si>
  <si>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</si>
  <si>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</si>
  <si>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</si>
  <si>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</si>
  <si>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</si>
  <si>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</si>
  <si>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</si>
  <si>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</si>
  <si>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</si>
  <si>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</si>
  <si>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</si>
  <si>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</si>
  <si>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</si>
  <si>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</si>
  <si>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</si>
  <si>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</si>
  <si>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</si>
  <si>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</si>
  <si>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</si>
  <si>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</si>
  <si>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</si>
  <si>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</si>
  <si>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</si>
  <si>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</si>
  <si>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</si>
  <si>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</si>
  <si>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</si>
  <si>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</si>
  <si>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</si>
  <si>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</si>
  <si>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</si>
  <si>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</si>
  <si>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</si>
  <si>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</si>
  <si>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</si>
  <si>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</si>
  <si>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</si>
  <si>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</si>
  <si>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</si>
  <si>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</si>
  <si>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</si>
  <si>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</si>
  <si>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</si>
  <si>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</si>
  <si>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</si>
  <si>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</si>
  <si>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</si>
  <si>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</si>
  <si>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</si>
  <si>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</si>
  <si>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</si>
  <si>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</si>
  <si>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</si>
  <si>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</si>
  <si>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</si>
  <si>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</si>
  <si>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</si>
  <si>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</si>
  <si>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</si>
  <si>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</si>
  <si>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</si>
  <si>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</si>
  <si>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</si>
  <si>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</si>
  <si>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</si>
  <si>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</si>
  <si>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</si>
  <si>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</si>
  <si>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</si>
  <si>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</si>
  <si>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</si>
  <si>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</si>
  <si>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</si>
  <si>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</si>
  <si>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</si>
  <si>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</si>
  <si>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</si>
  <si>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</si>
  <si>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</si>
  <si>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</si>
  <si>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</si>
  <si>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</si>
  <si>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</si>
  <si>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</si>
  <si>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</si>
  <si>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</si>
  <si>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</si>
  <si>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</si>
  <si>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</si>
  <si>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</si>
  <si>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</si>
  <si>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</si>
  <si>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</si>
  <si>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</si>
  <si>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</si>
  <si>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</si>
  <si>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</si>
  <si>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</si>
  <si>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</si>
  <si>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</si>
  <si>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</si>
  <si>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</si>
  <si>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</si>
  <si>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</si>
  <si>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</si>
  <si>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</si>
  <si>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</si>
  <si>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</si>
  <si>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</si>
  <si>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</si>
  <si>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</si>
  <si>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</si>
  <si>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</si>
  <si>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</si>
  <si>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</si>
  <si>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</si>
  <si>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</si>
  <si>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</si>
  <si>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</si>
  <si>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</si>
  <si>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</si>
  <si>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</si>
  <si>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</si>
  <si>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</si>
  <si>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</si>
  <si>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</si>
  <si>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</si>
  <si>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</si>
  <si>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</si>
  <si>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</si>
  <si>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</si>
  <si>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</si>
  <si>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</si>
  <si>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</si>
  <si>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</si>
  <si>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</si>
  <si>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</si>
  <si>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</si>
  <si>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</si>
  <si>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</si>
  <si>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</si>
  <si>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</si>
  <si>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</si>
  <si>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</si>
  <si>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</si>
  <si>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</si>
  <si>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</si>
  <si>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</si>
  <si>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</si>
  <si>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</si>
  <si>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</si>
  <si>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</si>
  <si>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</si>
  <si>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</si>
  <si>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</si>
  <si>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</si>
  <si>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</si>
  <si>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</si>
  <si>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</si>
  <si>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</si>
  <si>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</si>
  <si>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Certificado Nº del 1 al 24 - Redes y Colectores Cloacales Alderetes - Tucumán (00530)</t>
  </si>
  <si>
    <t>Redeterminación Definitiva Nº 1 a 24 - Redes y Colectores Cloacales Alderetes - Tucumán (00530)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</si>
</sst>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  <numFmt numFmtId="169" formatCode="_-[$$-409]* #,##0.00_ ;_-[$$-409]* \-#,##0.00\ ;_-[$$-409]* &quot;-&quot;??_ ;_-@_ 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  <xf numFmtId="169" fontId="0" fillId="0" borderId="0" xfId="0" applyNumberFormat="1"/>
    <xf numFmtId="17" fontId="0" fillId="0" borderId="0" xfId="0" applyNumberFormat="1"/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31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22" formatCode="mmm\-yy"/>
    </dxf>
    <dxf>
      <numFmt numFmtId="169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FCE4D6"/>
          <bgColor rgb="FFFFD7D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1495425</xdr:colOff>
      <xdr:row>67</xdr:row>
      <xdr:rowOff>25400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al 31-03-2026"/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/>
      <sheetData sheetId="1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128AB-CAF0-43E2-AA08-6794C04E04FA}" name="Tabla1" displayName="Tabla1" ref="A2:D9" totalsRowShown="0">
  <autoFilter ref="A2:D9" xr:uid="{1EE128AB-CAF0-43E2-AA08-6794C04E04FA}"/>
  <tableColumns count="4">
    <tableColumn id="1" xr3:uid="{64C72B70-DC43-4D40-855E-DAF5A7700583}" name="UOP" dataDxfId="30" dataCellStyle="Normal 2"/>
    <tableColumn id="2" xr3:uid="{F87F7CA3-D4A1-4668-953D-123F5F6C107F}" name="Concepto"/>
    <tableColumn id="3" xr3:uid="{E7E7C505-0FFB-4C70-8A2C-86DDE4FD4B32}" name="Monto" dataDxfId="29"/>
    <tableColumn id="4" xr3:uid="{2FFACDB6-DBBC-4E53-B403-00E141A813FB}" name="Fecha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7"/>
  <sheetViews>
    <sheetView tabSelected="1" topLeftCell="AA1" zoomScale="70" zoomScaleNormal="70" workbookViewId="0">
      <pane ySplit="1" topLeftCell="A81" activePane="bottomLeft" state="frozen"/>
      <selection pane="bottomLeft" activeCell="AH149" sqref="AH149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7.269531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453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10</v>
      </c>
      <c r="L1" s="87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88" t="s">
        <v>27</v>
      </c>
      <c r="AC1" s="4" t="s">
        <v>28</v>
      </c>
      <c r="AD1" s="5" t="s">
        <v>29</v>
      </c>
      <c r="AE1" s="4" t="s">
        <v>30</v>
      </c>
      <c r="AF1" s="6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</row>
    <row r="2" spans="1:38" ht="15" customHeight="1" x14ac:dyDescent="0.35">
      <c r="A2" s="10" t="s">
        <v>37</v>
      </c>
      <c r="B2" s="10" t="s">
        <v>38</v>
      </c>
      <c r="C2" s="10" t="s">
        <v>39</v>
      </c>
      <c r="D2" s="89">
        <v>0</v>
      </c>
      <c r="E2" s="89">
        <v>24</v>
      </c>
      <c r="F2" s="89" t="s">
        <v>40</v>
      </c>
      <c r="G2" s="89" t="s">
        <v>41</v>
      </c>
      <c r="H2" s="92">
        <v>45078</v>
      </c>
      <c r="I2" s="103">
        <v>44831454.229999997</v>
      </c>
      <c r="J2" s="94">
        <v>484314542.38</v>
      </c>
      <c r="K2" s="94">
        <f>+J2</f>
        <v>484314542.38</v>
      </c>
      <c r="L2" s="89" t="s">
        <v>42</v>
      </c>
      <c r="M2" s="10" t="s">
        <v>43</v>
      </c>
      <c r="N2" s="8">
        <v>9999</v>
      </c>
      <c r="O2" s="9">
        <v>45090</v>
      </c>
      <c r="P2" s="93" t="s">
        <v>374</v>
      </c>
      <c r="Q2" s="10" t="s">
        <v>45</v>
      </c>
      <c r="R2" s="10" t="s">
        <v>46</v>
      </c>
      <c r="S2" s="94">
        <f t="shared" ref="S2:S3" si="0">+J2</f>
        <v>484314542.38</v>
      </c>
      <c r="T2" s="94"/>
      <c r="U2" s="94">
        <v>0</v>
      </c>
      <c r="V2" s="94">
        <f>IF(N2="FC B",T2,IF(C2="00-175",T2/(1+0.21),T2/(1+0.21+0.03)))</f>
        <v>0</v>
      </c>
      <c r="W2" s="94">
        <f>IF(A2="00-175",U2*0.003,U2*0.025)</f>
        <v>0</v>
      </c>
      <c r="X2" s="94">
        <f>IF(A2="00-175",U2*0.06,0)</f>
        <v>0</v>
      </c>
      <c r="Y2" s="94">
        <f>IF(Q2="FC B",W2,IF(O2="00-175",W2/(1+0.21),W2/(1+0.21+0.03)))</f>
        <v>0</v>
      </c>
      <c r="Z2" s="94"/>
      <c r="AA2" s="94">
        <f t="shared" ref="AA2:AA3" si="1">+S2+T2+U2+W2+X2</f>
        <v>484314542.38</v>
      </c>
      <c r="AB2" s="12">
        <v>45111</v>
      </c>
      <c r="AC2" s="94">
        <v>484314542.38</v>
      </c>
      <c r="AD2" s="12">
        <v>45111</v>
      </c>
      <c r="AE2" s="94"/>
      <c r="AF2" s="7"/>
      <c r="AG2" s="94"/>
      <c r="AH2" s="94"/>
      <c r="AI2" s="94">
        <f t="shared" ref="AI2:AI3" si="2">+AC2+AE2+AG2+AH2</f>
        <v>484314542.38</v>
      </c>
      <c r="AJ2" s="94">
        <f t="shared" ref="AJ2:AJ3" si="3">+AA2-AI2</f>
        <v>0</v>
      </c>
      <c r="AK2" s="90">
        <f t="shared" ref="AK2:AK3" si="4">IF(Q2="ANULADA","N/A",IF(ABS(AJ2)&gt;10,"Pendiente",IF(MAX(AB2,AD2,AF2)=0,"Pendiente",MAX(0,MAX(AB2,AD2,AF2)-O2))))</f>
        <v>21</v>
      </c>
      <c r="AL2" s="95"/>
    </row>
    <row r="3" spans="1:38" ht="15" customHeight="1" x14ac:dyDescent="0.35">
      <c r="A3" s="10" t="s">
        <v>37</v>
      </c>
      <c r="B3" s="10" t="s">
        <v>38</v>
      </c>
      <c r="C3" s="10" t="s">
        <v>39</v>
      </c>
      <c r="D3" s="89">
        <v>0</v>
      </c>
      <c r="E3" s="89">
        <v>24</v>
      </c>
      <c r="F3" s="89" t="s">
        <v>47</v>
      </c>
      <c r="G3" s="89" t="s">
        <v>48</v>
      </c>
      <c r="H3" s="92">
        <v>45078</v>
      </c>
      <c r="I3" s="103"/>
      <c r="J3" s="94">
        <v>965658236.11000001</v>
      </c>
      <c r="K3" s="94">
        <f>+J3</f>
        <v>965658236.11000001</v>
      </c>
      <c r="L3" s="89" t="s">
        <v>42</v>
      </c>
      <c r="M3" s="10" t="s">
        <v>43</v>
      </c>
      <c r="N3" s="11">
        <v>9998</v>
      </c>
      <c r="O3" s="9">
        <v>45090</v>
      </c>
      <c r="P3" s="10" t="s">
        <v>375</v>
      </c>
      <c r="Q3" s="10" t="s">
        <v>45</v>
      </c>
      <c r="R3" s="10" t="s">
        <v>46</v>
      </c>
      <c r="S3" s="94">
        <f t="shared" si="0"/>
        <v>965658236.11000001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965658236.11000001</v>
      </c>
      <c r="AB3" s="12">
        <v>45169</v>
      </c>
      <c r="AC3" s="94">
        <v>965658236.11000001</v>
      </c>
      <c r="AD3" s="12">
        <v>45169</v>
      </c>
      <c r="AE3" s="94"/>
      <c r="AF3" s="10"/>
      <c r="AG3" s="94"/>
      <c r="AH3" s="94"/>
      <c r="AI3" s="94">
        <f t="shared" si="2"/>
        <v>965658236.11000001</v>
      </c>
      <c r="AJ3" s="94">
        <f t="shared" si="3"/>
        <v>0</v>
      </c>
      <c r="AK3" s="90">
        <f t="shared" si="4"/>
        <v>79</v>
      </c>
    </row>
    <row r="4" spans="1:38" ht="15" customHeight="1" x14ac:dyDescent="0.35">
      <c r="A4" s="10" t="s">
        <v>37</v>
      </c>
      <c r="B4" s="10" t="s">
        <v>38</v>
      </c>
      <c r="C4" s="10" t="s">
        <v>39</v>
      </c>
      <c r="D4" s="89">
        <v>0</v>
      </c>
      <c r="E4" s="89">
        <v>25</v>
      </c>
      <c r="F4" s="89" t="s">
        <v>40</v>
      </c>
      <c r="G4" s="89" t="s">
        <v>41</v>
      </c>
      <c r="H4" s="92">
        <v>45078</v>
      </c>
      <c r="I4" s="103">
        <v>220787.66</v>
      </c>
      <c r="J4" s="94">
        <v>1987088.92</v>
      </c>
      <c r="K4" s="94">
        <v>1987088.92</v>
      </c>
      <c r="L4" s="89" t="s">
        <v>42</v>
      </c>
      <c r="M4" s="10" t="s">
        <v>43</v>
      </c>
      <c r="N4" s="8">
        <v>1997</v>
      </c>
      <c r="O4" s="9">
        <v>46035</v>
      </c>
      <c r="P4" s="93" t="s">
        <v>44</v>
      </c>
      <c r="Q4" s="10" t="s">
        <v>45</v>
      </c>
      <c r="R4" s="10" t="s">
        <v>46</v>
      </c>
      <c r="S4" s="94">
        <f t="shared" ref="S4:S35" si="5">+J4</f>
        <v>1987088.92</v>
      </c>
      <c r="T4" s="94"/>
      <c r="U4" s="94">
        <v>0</v>
      </c>
      <c r="V4" s="94">
        <f>IF(N4="FC B",T4,IF(C4="00-175",T4/(1+0.21),T4/(1+0.21+0.03)))</f>
        <v>0</v>
      </c>
      <c r="W4" s="94">
        <f>IF(A4="00-175",U4*0.003,U4*0.025)</f>
        <v>0</v>
      </c>
      <c r="X4" s="94">
        <f>IF(A4="00-175",U4*0.06,0)</f>
        <v>0</v>
      </c>
      <c r="Y4" s="94">
        <f>IF(Q4="FC B",W4,IF(O4="00-175",W4/(1+0.21),W4/(1+0.21+0.03)))</f>
        <v>0</v>
      </c>
      <c r="Z4" s="94"/>
      <c r="AA4" s="94">
        <f t="shared" ref="AA4:AA15" si="6">+S4+T4+U4+W4+X4</f>
        <v>1987088.92</v>
      </c>
      <c r="AB4" s="7"/>
      <c r="AC4" s="94"/>
      <c r="AD4" s="7"/>
      <c r="AE4" s="94"/>
      <c r="AF4" s="7"/>
      <c r="AG4" s="94"/>
      <c r="AH4" s="94"/>
      <c r="AI4" s="94">
        <f t="shared" ref="AI4:AI35" si="7">+AC4+AE4+AG4+AH4</f>
        <v>0</v>
      </c>
      <c r="AJ4" s="94">
        <f t="shared" ref="AJ4:AJ35" si="8">+AA4-AI4</f>
        <v>1987088.92</v>
      </c>
      <c r="AK4" s="90" t="str">
        <f t="shared" ref="AK4:AK35" si="9">IF(Q4="ANULADA","N/A",IF(ABS(AJ4)&gt;10,"Pendiente",IF(MAX(AB4,AD4,AF4)=0,"Pendiente",MAX(0,MAX(AB4,AD4,AF4)-O4))))</f>
        <v>Pendiente</v>
      </c>
      <c r="AL4" s="95"/>
    </row>
    <row r="5" spans="1:38" ht="15" customHeight="1" x14ac:dyDescent="0.35">
      <c r="A5" s="10" t="s">
        <v>37</v>
      </c>
      <c r="B5" s="10" t="s">
        <v>38</v>
      </c>
      <c r="C5" s="10" t="s">
        <v>39</v>
      </c>
      <c r="D5" s="89">
        <v>0</v>
      </c>
      <c r="E5" s="89">
        <v>25</v>
      </c>
      <c r="F5" s="89" t="s">
        <v>47</v>
      </c>
      <c r="G5" s="89" t="s">
        <v>48</v>
      </c>
      <c r="H5" s="92">
        <v>45078</v>
      </c>
      <c r="I5" s="103"/>
      <c r="J5" s="94">
        <v>50402510.509999998</v>
      </c>
      <c r="K5" s="94">
        <v>50402510.509999998</v>
      </c>
      <c r="L5" s="89" t="s">
        <v>42</v>
      </c>
      <c r="M5" s="10" t="s">
        <v>43</v>
      </c>
      <c r="N5" s="11">
        <v>1998</v>
      </c>
      <c r="O5" s="12">
        <v>46035</v>
      </c>
      <c r="P5" s="10" t="s">
        <v>49</v>
      </c>
      <c r="Q5" s="10" t="s">
        <v>45</v>
      </c>
      <c r="R5" s="10" t="s">
        <v>46</v>
      </c>
      <c r="S5" s="94">
        <f t="shared" si="5"/>
        <v>50402510.509999998</v>
      </c>
      <c r="T5" s="94"/>
      <c r="U5" s="94">
        <v>0</v>
      </c>
      <c r="V5" s="94">
        <v>0</v>
      </c>
      <c r="W5" s="94">
        <v>0</v>
      </c>
      <c r="X5" s="94">
        <v>0</v>
      </c>
      <c r="Y5" s="94">
        <v>0</v>
      </c>
      <c r="Z5" s="94"/>
      <c r="AA5" s="94">
        <f t="shared" si="6"/>
        <v>50402510.509999998</v>
      </c>
      <c r="AB5" s="10"/>
      <c r="AC5" s="94"/>
      <c r="AD5" s="10"/>
      <c r="AE5" s="94"/>
      <c r="AF5" s="10"/>
      <c r="AG5" s="94"/>
      <c r="AH5" s="94"/>
      <c r="AI5" s="94">
        <f t="shared" si="7"/>
        <v>0</v>
      </c>
      <c r="AJ5" s="94">
        <f t="shared" si="8"/>
        <v>50402510.509999998</v>
      </c>
      <c r="AK5" s="90" t="str">
        <f t="shared" si="9"/>
        <v>Pendiente</v>
      </c>
    </row>
    <row r="6" spans="1:38" ht="15" customHeight="1" x14ac:dyDescent="0.35">
      <c r="A6" s="10" t="s">
        <v>37</v>
      </c>
      <c r="B6" s="10" t="s">
        <v>38</v>
      </c>
      <c r="C6" s="10" t="s">
        <v>39</v>
      </c>
      <c r="D6" s="89">
        <v>0</v>
      </c>
      <c r="E6" s="89">
        <v>26</v>
      </c>
      <c r="F6" s="89" t="s">
        <v>40</v>
      </c>
      <c r="G6" s="89" t="s">
        <v>41</v>
      </c>
      <c r="H6" s="92">
        <v>45108</v>
      </c>
      <c r="I6" s="103">
        <v>75252.44</v>
      </c>
      <c r="J6" s="94">
        <v>677271.96</v>
      </c>
      <c r="K6" s="94">
        <v>677271.96</v>
      </c>
      <c r="L6" s="89" t="s">
        <v>42</v>
      </c>
      <c r="M6" s="10" t="s">
        <v>43</v>
      </c>
      <c r="N6" s="11">
        <v>1999</v>
      </c>
      <c r="O6" s="12">
        <v>46035</v>
      </c>
      <c r="P6" s="10" t="s">
        <v>50</v>
      </c>
      <c r="Q6" s="10" t="s">
        <v>45</v>
      </c>
      <c r="R6" s="10" t="s">
        <v>46</v>
      </c>
      <c r="S6" s="94">
        <f t="shared" si="5"/>
        <v>677271.96</v>
      </c>
      <c r="T6" s="94"/>
      <c r="U6" s="94">
        <v>0</v>
      </c>
      <c r="V6" s="94">
        <v>0</v>
      </c>
      <c r="W6" s="94">
        <f t="shared" ref="W6:W15" si="10">IF(A6="00-175",U6*0.003,U6*0.025)</f>
        <v>0</v>
      </c>
      <c r="X6" s="94">
        <f t="shared" ref="X6:X15" si="11">IF(A6="00-175",U6*0.06,0)</f>
        <v>0</v>
      </c>
      <c r="Y6" s="94">
        <v>0</v>
      </c>
      <c r="Z6" s="94"/>
      <c r="AA6" s="94">
        <f t="shared" si="6"/>
        <v>677271.96</v>
      </c>
      <c r="AB6" s="10"/>
      <c r="AC6" s="94"/>
      <c r="AD6" s="10"/>
      <c r="AE6" s="94"/>
      <c r="AF6" s="10"/>
      <c r="AG6" s="94"/>
      <c r="AH6" s="94"/>
      <c r="AI6" s="94">
        <f t="shared" si="7"/>
        <v>0</v>
      </c>
      <c r="AJ6" s="94">
        <f t="shared" si="8"/>
        <v>677271.96</v>
      </c>
      <c r="AK6" s="90" t="str">
        <f t="shared" si="9"/>
        <v>Pendiente</v>
      </c>
    </row>
    <row r="7" spans="1:38" ht="15" customHeight="1" x14ac:dyDescent="0.35">
      <c r="A7" s="10" t="s">
        <v>37</v>
      </c>
      <c r="B7" s="10" t="s">
        <v>38</v>
      </c>
      <c r="C7" s="10" t="s">
        <v>39</v>
      </c>
      <c r="D7" s="89">
        <v>0</v>
      </c>
      <c r="E7" s="89">
        <v>26</v>
      </c>
      <c r="F7" s="89" t="s">
        <v>47</v>
      </c>
      <c r="G7" s="89" t="s">
        <v>48</v>
      </c>
      <c r="H7" s="92">
        <v>45108</v>
      </c>
      <c r="I7" s="103"/>
      <c r="J7" s="94">
        <v>17699825.399999999</v>
      </c>
      <c r="K7" s="94">
        <v>17699825.399999999</v>
      </c>
      <c r="L7" s="89" t="s">
        <v>42</v>
      </c>
      <c r="M7" s="10" t="s">
        <v>43</v>
      </c>
      <c r="N7" s="11">
        <v>2000</v>
      </c>
      <c r="O7" s="12">
        <v>46035</v>
      </c>
      <c r="P7" s="10" t="s">
        <v>51</v>
      </c>
      <c r="Q7" s="10" t="s">
        <v>45</v>
      </c>
      <c r="R7" s="10" t="s">
        <v>46</v>
      </c>
      <c r="S7" s="94">
        <f t="shared" si="5"/>
        <v>17699825.399999999</v>
      </c>
      <c r="T7" s="94"/>
      <c r="U7" s="94">
        <v>0</v>
      </c>
      <c r="V7" s="94">
        <v>0</v>
      </c>
      <c r="W7" s="94">
        <f t="shared" si="10"/>
        <v>0</v>
      </c>
      <c r="X7" s="94">
        <f t="shared" si="11"/>
        <v>0</v>
      </c>
      <c r="Y7" s="94">
        <v>0</v>
      </c>
      <c r="Z7" s="94"/>
      <c r="AA7" s="94">
        <f t="shared" si="6"/>
        <v>17699825.399999999</v>
      </c>
      <c r="AB7" s="10"/>
      <c r="AC7" s="94"/>
      <c r="AD7" s="10"/>
      <c r="AE7" s="94"/>
      <c r="AF7" s="10"/>
      <c r="AG7" s="94"/>
      <c r="AH7" s="94"/>
      <c r="AI7" s="94">
        <f t="shared" si="7"/>
        <v>0</v>
      </c>
      <c r="AJ7" s="94">
        <f t="shared" si="8"/>
        <v>17699825.399999999</v>
      </c>
      <c r="AK7" s="90" t="str">
        <f t="shared" si="9"/>
        <v>Pendiente</v>
      </c>
    </row>
    <row r="8" spans="1:38" ht="15" customHeight="1" x14ac:dyDescent="0.35">
      <c r="A8" s="10" t="s">
        <v>37</v>
      </c>
      <c r="B8" s="10" t="s">
        <v>38</v>
      </c>
      <c r="C8" s="10" t="s">
        <v>39</v>
      </c>
      <c r="D8" s="89">
        <v>0</v>
      </c>
      <c r="E8" s="89">
        <v>27</v>
      </c>
      <c r="F8" s="89" t="s">
        <v>40</v>
      </c>
      <c r="G8" s="89" t="s">
        <v>41</v>
      </c>
      <c r="H8" s="92">
        <v>45139</v>
      </c>
      <c r="I8" s="103">
        <v>112878.66</v>
      </c>
      <c r="J8" s="94">
        <v>1015907.94</v>
      </c>
      <c r="K8" s="94">
        <v>1015907.94</v>
      </c>
      <c r="L8" s="89" t="s">
        <v>42</v>
      </c>
      <c r="M8" s="10" t="s">
        <v>43</v>
      </c>
      <c r="N8" s="11">
        <v>2001</v>
      </c>
      <c r="O8" s="12">
        <v>46035</v>
      </c>
      <c r="P8" s="10" t="s">
        <v>52</v>
      </c>
      <c r="Q8" s="10" t="s">
        <v>45</v>
      </c>
      <c r="R8" s="10" t="s">
        <v>46</v>
      </c>
      <c r="S8" s="94">
        <f t="shared" si="5"/>
        <v>1015907.94</v>
      </c>
      <c r="T8" s="94"/>
      <c r="U8" s="94">
        <v>0</v>
      </c>
      <c r="V8" s="94">
        <v>0</v>
      </c>
      <c r="W8" s="94">
        <f t="shared" si="10"/>
        <v>0</v>
      </c>
      <c r="X8" s="94">
        <f t="shared" si="11"/>
        <v>0</v>
      </c>
      <c r="Y8" s="94">
        <v>0</v>
      </c>
      <c r="Z8" s="94"/>
      <c r="AA8" s="94">
        <f t="shared" si="6"/>
        <v>1015907.94</v>
      </c>
      <c r="AB8" s="10"/>
      <c r="AC8" s="94"/>
      <c r="AD8" s="10"/>
      <c r="AE8" s="94"/>
      <c r="AF8" s="10"/>
      <c r="AG8" s="94"/>
      <c r="AH8" s="94"/>
      <c r="AI8" s="94">
        <f t="shared" si="7"/>
        <v>0</v>
      </c>
      <c r="AJ8" s="94">
        <f t="shared" si="8"/>
        <v>1015907.94</v>
      </c>
      <c r="AK8" s="90" t="str">
        <f t="shared" si="9"/>
        <v>Pendiente</v>
      </c>
    </row>
    <row r="9" spans="1:38" ht="15" customHeight="1" x14ac:dyDescent="0.35">
      <c r="A9" s="10" t="s">
        <v>37</v>
      </c>
      <c r="B9" s="10" t="s">
        <v>38</v>
      </c>
      <c r="C9" s="10" t="s">
        <v>39</v>
      </c>
      <c r="D9" s="89">
        <v>0</v>
      </c>
      <c r="E9" s="89">
        <v>27</v>
      </c>
      <c r="F9" s="89" t="s">
        <v>47</v>
      </c>
      <c r="G9" s="89" t="s">
        <v>48</v>
      </c>
      <c r="H9" s="92">
        <v>45139</v>
      </c>
      <c r="I9" s="103"/>
      <c r="J9" s="94">
        <v>27253875.190000001</v>
      </c>
      <c r="K9" s="94">
        <v>27253875.190000001</v>
      </c>
      <c r="L9" s="89" t="s">
        <v>42</v>
      </c>
      <c r="M9" s="10" t="s">
        <v>43</v>
      </c>
      <c r="N9" s="11">
        <v>2002</v>
      </c>
      <c r="O9" s="12">
        <v>46035</v>
      </c>
      <c r="P9" s="10" t="s">
        <v>53</v>
      </c>
      <c r="Q9" s="10" t="s">
        <v>45</v>
      </c>
      <c r="R9" s="10" t="s">
        <v>46</v>
      </c>
      <c r="S9" s="94">
        <f t="shared" si="5"/>
        <v>27253875.190000001</v>
      </c>
      <c r="T9" s="94"/>
      <c r="U9" s="94">
        <v>0</v>
      </c>
      <c r="V9" s="94">
        <v>0</v>
      </c>
      <c r="W9" s="94">
        <f t="shared" si="10"/>
        <v>0</v>
      </c>
      <c r="X9" s="94">
        <f t="shared" si="11"/>
        <v>0</v>
      </c>
      <c r="Y9" s="94">
        <v>0</v>
      </c>
      <c r="Z9" s="94"/>
      <c r="AA9" s="94">
        <f t="shared" si="6"/>
        <v>27253875.190000001</v>
      </c>
      <c r="AB9" s="10"/>
      <c r="AC9" s="94"/>
      <c r="AD9" s="10"/>
      <c r="AE9" s="94"/>
      <c r="AF9" s="10"/>
      <c r="AG9" s="94"/>
      <c r="AH9" s="94"/>
      <c r="AI9" s="94">
        <f t="shared" si="7"/>
        <v>0</v>
      </c>
      <c r="AJ9" s="94">
        <f t="shared" si="8"/>
        <v>27253875.190000001</v>
      </c>
      <c r="AK9" s="90" t="str">
        <f t="shared" si="9"/>
        <v>Pendiente</v>
      </c>
    </row>
    <row r="10" spans="1:38" ht="15" customHeight="1" x14ac:dyDescent="0.35">
      <c r="A10" s="10" t="s">
        <v>37</v>
      </c>
      <c r="B10" s="10" t="s">
        <v>38</v>
      </c>
      <c r="C10" s="10" t="s">
        <v>39</v>
      </c>
      <c r="D10" s="89">
        <v>0</v>
      </c>
      <c r="E10" s="89">
        <v>28</v>
      </c>
      <c r="F10" s="89" t="s">
        <v>40</v>
      </c>
      <c r="G10" s="89" t="s">
        <v>41</v>
      </c>
      <c r="H10" s="92">
        <v>45170</v>
      </c>
      <c r="I10" s="103">
        <v>112878.66</v>
      </c>
      <c r="J10" s="94">
        <v>1015907.94</v>
      </c>
      <c r="K10" s="94">
        <v>1015907.94</v>
      </c>
      <c r="L10" s="89" t="s">
        <v>42</v>
      </c>
      <c r="M10" s="10" t="s">
        <v>43</v>
      </c>
      <c r="N10" s="11">
        <v>2003</v>
      </c>
      <c r="O10" s="12">
        <v>46035</v>
      </c>
      <c r="P10" s="10" t="s">
        <v>54</v>
      </c>
      <c r="Q10" s="10" t="s">
        <v>45</v>
      </c>
      <c r="R10" s="10" t="s">
        <v>46</v>
      </c>
      <c r="S10" s="94">
        <f t="shared" si="5"/>
        <v>1015907.94</v>
      </c>
      <c r="T10" s="94"/>
      <c r="U10" s="94">
        <v>0</v>
      </c>
      <c r="V10" s="94">
        <v>0</v>
      </c>
      <c r="W10" s="94">
        <f t="shared" si="10"/>
        <v>0</v>
      </c>
      <c r="X10" s="94">
        <f t="shared" si="11"/>
        <v>0</v>
      </c>
      <c r="Y10" s="94">
        <v>0</v>
      </c>
      <c r="Z10" s="94"/>
      <c r="AA10" s="94">
        <f t="shared" si="6"/>
        <v>1015907.94</v>
      </c>
      <c r="AB10" s="10"/>
      <c r="AC10" s="94"/>
      <c r="AD10" s="10"/>
      <c r="AE10" s="94"/>
      <c r="AF10" s="10"/>
      <c r="AG10" s="94"/>
      <c r="AH10" s="94"/>
      <c r="AI10" s="94">
        <f t="shared" si="7"/>
        <v>0</v>
      </c>
      <c r="AJ10" s="94">
        <f t="shared" si="8"/>
        <v>1015907.94</v>
      </c>
      <c r="AK10" s="90" t="str">
        <f t="shared" si="9"/>
        <v>Pendiente</v>
      </c>
    </row>
    <row r="11" spans="1:38" ht="15" customHeight="1" x14ac:dyDescent="0.35">
      <c r="A11" s="10" t="s">
        <v>37</v>
      </c>
      <c r="B11" s="10" t="s">
        <v>38</v>
      </c>
      <c r="C11" s="10" t="s">
        <v>39</v>
      </c>
      <c r="D11" s="89">
        <v>0</v>
      </c>
      <c r="E11" s="89">
        <v>28</v>
      </c>
      <c r="F11" s="89" t="s">
        <v>47</v>
      </c>
      <c r="G11" s="89" t="s">
        <v>48</v>
      </c>
      <c r="H11" s="92">
        <v>45170</v>
      </c>
      <c r="I11" s="103"/>
      <c r="J11" s="94">
        <v>28627721.359999999</v>
      </c>
      <c r="K11" s="94">
        <v>28627721.359999999</v>
      </c>
      <c r="L11" s="89" t="s">
        <v>42</v>
      </c>
      <c r="M11" s="10" t="s">
        <v>43</v>
      </c>
      <c r="N11" s="11">
        <v>2004</v>
      </c>
      <c r="O11" s="12">
        <v>46035</v>
      </c>
      <c r="P11" s="10" t="s">
        <v>55</v>
      </c>
      <c r="Q11" s="10" t="s">
        <v>45</v>
      </c>
      <c r="R11" s="10" t="s">
        <v>46</v>
      </c>
      <c r="S11" s="94">
        <f t="shared" si="5"/>
        <v>28627721.359999999</v>
      </c>
      <c r="T11" s="94"/>
      <c r="U11" s="94">
        <v>0</v>
      </c>
      <c r="V11" s="94">
        <v>0</v>
      </c>
      <c r="W11" s="94">
        <f t="shared" si="10"/>
        <v>0</v>
      </c>
      <c r="X11" s="94">
        <f t="shared" si="11"/>
        <v>0</v>
      </c>
      <c r="Y11" s="94">
        <v>0</v>
      </c>
      <c r="Z11" s="94"/>
      <c r="AA11" s="94">
        <f t="shared" si="6"/>
        <v>28627721.359999999</v>
      </c>
      <c r="AB11" s="10"/>
      <c r="AC11" s="94"/>
      <c r="AD11" s="10"/>
      <c r="AE11" s="94"/>
      <c r="AF11" s="10"/>
      <c r="AG11" s="94"/>
      <c r="AH11" s="94"/>
      <c r="AI11" s="94">
        <f t="shared" si="7"/>
        <v>0</v>
      </c>
      <c r="AJ11" s="94">
        <f t="shared" si="8"/>
        <v>28627721.359999999</v>
      </c>
      <c r="AK11" s="90" t="str">
        <f t="shared" si="9"/>
        <v>Pendiente</v>
      </c>
    </row>
    <row r="12" spans="1:38" ht="15" customHeight="1" x14ac:dyDescent="0.35">
      <c r="A12" s="10" t="s">
        <v>37</v>
      </c>
      <c r="B12" s="10" t="s">
        <v>38</v>
      </c>
      <c r="C12" s="10" t="s">
        <v>39</v>
      </c>
      <c r="D12" s="89">
        <v>0</v>
      </c>
      <c r="E12" s="89">
        <v>29</v>
      </c>
      <c r="F12" s="89" t="s">
        <v>40</v>
      </c>
      <c r="G12" s="89" t="s">
        <v>41</v>
      </c>
      <c r="H12" s="92">
        <v>45200</v>
      </c>
      <c r="I12" s="103">
        <v>26488.94</v>
      </c>
      <c r="J12" s="94">
        <v>238400.46</v>
      </c>
      <c r="K12" s="94">
        <v>238400.46</v>
      </c>
      <c r="L12" s="89" t="s">
        <v>42</v>
      </c>
      <c r="M12" s="10" t="s">
        <v>43</v>
      </c>
      <c r="N12" s="11">
        <v>2005</v>
      </c>
      <c r="O12" s="12">
        <v>46035</v>
      </c>
      <c r="P12" s="10" t="s">
        <v>56</v>
      </c>
      <c r="Q12" s="10" t="s">
        <v>45</v>
      </c>
      <c r="R12" s="10" t="s">
        <v>46</v>
      </c>
      <c r="S12" s="94">
        <f t="shared" si="5"/>
        <v>238400.46</v>
      </c>
      <c r="T12" s="94"/>
      <c r="U12" s="94">
        <v>0</v>
      </c>
      <c r="V12" s="94">
        <v>0</v>
      </c>
      <c r="W12" s="94">
        <f t="shared" si="10"/>
        <v>0</v>
      </c>
      <c r="X12" s="94">
        <f t="shared" si="11"/>
        <v>0</v>
      </c>
      <c r="Y12" s="94">
        <v>0</v>
      </c>
      <c r="Z12" s="94"/>
      <c r="AA12" s="94">
        <f t="shared" si="6"/>
        <v>238400.46</v>
      </c>
      <c r="AB12" s="10"/>
      <c r="AC12" s="94"/>
      <c r="AD12" s="10"/>
      <c r="AE12" s="94"/>
      <c r="AF12" s="10"/>
      <c r="AG12" s="94"/>
      <c r="AH12" s="94"/>
      <c r="AI12" s="94">
        <f t="shared" si="7"/>
        <v>0</v>
      </c>
      <c r="AJ12" s="94">
        <f t="shared" si="8"/>
        <v>238400.46</v>
      </c>
      <c r="AK12" s="90" t="str">
        <f t="shared" si="9"/>
        <v>Pendiente</v>
      </c>
    </row>
    <row r="13" spans="1:38" ht="15" customHeight="1" x14ac:dyDescent="0.35">
      <c r="A13" s="10" t="s">
        <v>37</v>
      </c>
      <c r="B13" s="10" t="s">
        <v>38</v>
      </c>
      <c r="C13" s="10" t="s">
        <v>39</v>
      </c>
      <c r="D13" s="89">
        <v>0</v>
      </c>
      <c r="E13" s="89">
        <v>29</v>
      </c>
      <c r="F13" s="89" t="s">
        <v>47</v>
      </c>
      <c r="G13" s="89" t="s">
        <v>48</v>
      </c>
      <c r="H13" s="92">
        <v>45200</v>
      </c>
      <c r="I13" s="103"/>
      <c r="J13" s="94">
        <v>6758414.6399999997</v>
      </c>
      <c r="K13" s="94">
        <v>6758414.6399999997</v>
      </c>
      <c r="L13" s="89" t="s">
        <v>42</v>
      </c>
      <c r="M13" s="10" t="s">
        <v>43</v>
      </c>
      <c r="N13" s="11">
        <v>2006</v>
      </c>
      <c r="O13" s="12">
        <v>46035</v>
      </c>
      <c r="P13" s="10" t="s">
        <v>57</v>
      </c>
      <c r="Q13" s="10" t="s">
        <v>45</v>
      </c>
      <c r="R13" s="10" t="s">
        <v>46</v>
      </c>
      <c r="S13" s="94">
        <f t="shared" si="5"/>
        <v>6758414.6399999997</v>
      </c>
      <c r="T13" s="94"/>
      <c r="U13" s="94">
        <v>0</v>
      </c>
      <c r="V13" s="94">
        <v>0</v>
      </c>
      <c r="W13" s="94">
        <f t="shared" si="10"/>
        <v>0</v>
      </c>
      <c r="X13" s="94">
        <f t="shared" si="11"/>
        <v>0</v>
      </c>
      <c r="Y13" s="94">
        <v>0</v>
      </c>
      <c r="Z13" s="94"/>
      <c r="AA13" s="94">
        <f t="shared" si="6"/>
        <v>6758414.6399999997</v>
      </c>
      <c r="AB13" s="10"/>
      <c r="AC13" s="94"/>
      <c r="AD13" s="10"/>
      <c r="AE13" s="94"/>
      <c r="AF13" s="10"/>
      <c r="AG13" s="94"/>
      <c r="AH13" s="94"/>
      <c r="AI13" s="94">
        <f t="shared" si="7"/>
        <v>0</v>
      </c>
      <c r="AJ13" s="94">
        <f t="shared" si="8"/>
        <v>6758414.6399999997</v>
      </c>
      <c r="AK13" s="90" t="str">
        <f t="shared" si="9"/>
        <v>Pendiente</v>
      </c>
    </row>
    <row r="14" spans="1:38" ht="15" customHeight="1" x14ac:dyDescent="0.35">
      <c r="A14" s="10" t="s">
        <v>37</v>
      </c>
      <c r="B14" s="10" t="s">
        <v>38</v>
      </c>
      <c r="C14" s="10" t="s">
        <v>39</v>
      </c>
      <c r="D14" s="89">
        <v>0</v>
      </c>
      <c r="E14" s="89">
        <v>30</v>
      </c>
      <c r="F14" s="89" t="s">
        <v>40</v>
      </c>
      <c r="G14" s="89" t="s">
        <v>41</v>
      </c>
      <c r="H14" s="92">
        <v>45231</v>
      </c>
      <c r="I14" s="103">
        <v>49383.137000000002</v>
      </c>
      <c r="J14" s="94">
        <v>444448.23</v>
      </c>
      <c r="K14" s="94">
        <v>444448.23</v>
      </c>
      <c r="L14" s="89" t="s">
        <v>42</v>
      </c>
      <c r="M14" s="10" t="s">
        <v>43</v>
      </c>
      <c r="N14" s="11">
        <v>2008</v>
      </c>
      <c r="O14" s="12">
        <v>46051</v>
      </c>
      <c r="P14" s="10" t="s">
        <v>58</v>
      </c>
      <c r="Q14" s="10" t="s">
        <v>45</v>
      </c>
      <c r="R14" s="10" t="s">
        <v>46</v>
      </c>
      <c r="S14" s="94">
        <f t="shared" si="5"/>
        <v>444448.23</v>
      </c>
      <c r="T14" s="94"/>
      <c r="U14" s="94">
        <v>0</v>
      </c>
      <c r="V14" s="94">
        <v>0</v>
      </c>
      <c r="W14" s="94">
        <f t="shared" si="10"/>
        <v>0</v>
      </c>
      <c r="X14" s="94">
        <f t="shared" si="11"/>
        <v>0</v>
      </c>
      <c r="Y14" s="94">
        <v>0</v>
      </c>
      <c r="Z14" s="94"/>
      <c r="AA14" s="94">
        <f t="shared" si="6"/>
        <v>444448.23</v>
      </c>
      <c r="AB14" s="10"/>
      <c r="AC14" s="94"/>
      <c r="AD14" s="10"/>
      <c r="AE14" s="94"/>
      <c r="AF14" s="10"/>
      <c r="AG14" s="94"/>
      <c r="AH14" s="94"/>
      <c r="AI14" s="94">
        <f t="shared" si="7"/>
        <v>0</v>
      </c>
      <c r="AJ14" s="94">
        <f t="shared" si="8"/>
        <v>444448.23</v>
      </c>
      <c r="AK14" s="90" t="str">
        <f t="shared" si="9"/>
        <v>Pendiente</v>
      </c>
    </row>
    <row r="15" spans="1:38" ht="15" customHeight="1" x14ac:dyDescent="0.35">
      <c r="A15" s="10" t="s">
        <v>37</v>
      </c>
      <c r="B15" s="10" t="s">
        <v>38</v>
      </c>
      <c r="C15" s="10" t="s">
        <v>39</v>
      </c>
      <c r="D15" s="89">
        <v>0</v>
      </c>
      <c r="E15" s="89">
        <v>30</v>
      </c>
      <c r="F15" s="89" t="s">
        <v>47</v>
      </c>
      <c r="G15" s="89" t="s">
        <v>48</v>
      </c>
      <c r="H15" s="92">
        <v>45231</v>
      </c>
      <c r="I15" s="103"/>
      <c r="J15" s="94">
        <v>12832109.380000001</v>
      </c>
      <c r="K15" s="94">
        <v>12832109.380000001</v>
      </c>
      <c r="L15" s="89" t="s">
        <v>42</v>
      </c>
      <c r="M15" s="10" t="s">
        <v>43</v>
      </c>
      <c r="N15" s="11">
        <v>2010</v>
      </c>
      <c r="O15" s="12">
        <v>46051</v>
      </c>
      <c r="P15" s="10" t="s">
        <v>59</v>
      </c>
      <c r="Q15" s="10" t="s">
        <v>45</v>
      </c>
      <c r="R15" s="10" t="s">
        <v>46</v>
      </c>
      <c r="S15" s="94">
        <f t="shared" si="5"/>
        <v>12832109.380000001</v>
      </c>
      <c r="T15" s="94"/>
      <c r="U15" s="94">
        <v>0</v>
      </c>
      <c r="V15" s="94">
        <v>0</v>
      </c>
      <c r="W15" s="94">
        <f t="shared" si="10"/>
        <v>0</v>
      </c>
      <c r="X15" s="94">
        <f t="shared" si="11"/>
        <v>0</v>
      </c>
      <c r="Y15" s="94">
        <v>0</v>
      </c>
      <c r="Z15" s="94"/>
      <c r="AA15" s="94">
        <f t="shared" si="6"/>
        <v>12832109.380000001</v>
      </c>
      <c r="AB15" s="10"/>
      <c r="AC15" s="94"/>
      <c r="AD15" s="10"/>
      <c r="AE15" s="94"/>
      <c r="AF15" s="10"/>
      <c r="AG15" s="94"/>
      <c r="AH15" s="94"/>
      <c r="AI15" s="94">
        <f t="shared" si="7"/>
        <v>0</v>
      </c>
      <c r="AJ15" s="94">
        <f t="shared" si="8"/>
        <v>12832109.380000001</v>
      </c>
      <c r="AK15" s="90" t="str">
        <f t="shared" si="9"/>
        <v>Pendiente</v>
      </c>
    </row>
    <row r="16" spans="1:38" ht="15" hidden="1" customHeight="1" x14ac:dyDescent="0.35">
      <c r="A16" s="10" t="s">
        <v>60</v>
      </c>
      <c r="B16" s="17" t="s">
        <v>61</v>
      </c>
      <c r="C16" s="10" t="s">
        <v>62</v>
      </c>
      <c r="D16" s="10" t="s">
        <v>62</v>
      </c>
      <c r="E16" s="89">
        <v>4</v>
      </c>
      <c r="F16" s="10" t="s">
        <v>63</v>
      </c>
      <c r="G16" s="10" t="s">
        <v>62</v>
      </c>
      <c r="H16" s="92">
        <v>45778</v>
      </c>
      <c r="I16" s="103"/>
      <c r="J16" s="94">
        <v>23513373.66</v>
      </c>
      <c r="K16" s="94">
        <v>23513373.66</v>
      </c>
      <c r="L16" s="89" t="s">
        <v>42</v>
      </c>
      <c r="M16" s="10" t="s">
        <v>64</v>
      </c>
      <c r="N16" s="11">
        <v>2485</v>
      </c>
      <c r="O16" s="12">
        <v>45848</v>
      </c>
      <c r="P16" s="10" t="s">
        <v>63</v>
      </c>
      <c r="Q16" s="10" t="s">
        <v>45</v>
      </c>
      <c r="R16" s="10" t="s">
        <v>46</v>
      </c>
      <c r="S16" s="94">
        <f t="shared" si="5"/>
        <v>23513373.66</v>
      </c>
      <c r="T16" s="94"/>
      <c r="U16" s="94">
        <f t="shared" ref="U16:U60" si="12">+S16*21%</f>
        <v>4937808.4686000003</v>
      </c>
      <c r="V16" s="94">
        <f t="shared" ref="V16:V47" si="13">+S16*3%</f>
        <v>705401.20979999995</v>
      </c>
      <c r="W16" s="94">
        <f>+S16*2.5%</f>
        <v>587834.34149999998</v>
      </c>
      <c r="X16" s="94">
        <f t="shared" ref="X16:X60" si="14">IF(A16="00-175",S16*0.06,0)</f>
        <v>0</v>
      </c>
      <c r="Y16" s="94"/>
      <c r="Z16" s="94"/>
      <c r="AA16" s="94">
        <f t="shared" ref="AA16:AA60" si="15">+S16+T16+U16+W16+X16+V16+Y16</f>
        <v>29744417.679900002</v>
      </c>
      <c r="AB16" s="12">
        <v>46219</v>
      </c>
      <c r="AC16" s="94">
        <v>29744417.679900002</v>
      </c>
      <c r="AD16" s="10"/>
      <c r="AE16" s="94"/>
      <c r="AF16" s="10"/>
      <c r="AG16" s="94"/>
      <c r="AH16" s="94"/>
      <c r="AI16" s="94">
        <f t="shared" si="7"/>
        <v>29744417.679900002</v>
      </c>
      <c r="AJ16" s="94">
        <f t="shared" si="8"/>
        <v>0</v>
      </c>
      <c r="AK16" s="90">
        <f t="shared" si="9"/>
        <v>371</v>
      </c>
    </row>
    <row r="17" spans="1:37" ht="15" hidden="1" customHeight="1" x14ac:dyDescent="0.35">
      <c r="A17" s="10" t="s">
        <v>60</v>
      </c>
      <c r="B17" s="17" t="s">
        <v>61</v>
      </c>
      <c r="C17" s="10" t="s">
        <v>62</v>
      </c>
      <c r="D17" s="10" t="s">
        <v>62</v>
      </c>
      <c r="E17" s="89">
        <v>1</v>
      </c>
      <c r="F17" s="10" t="s">
        <v>65</v>
      </c>
      <c r="G17" s="10" t="s">
        <v>62</v>
      </c>
      <c r="H17" s="92">
        <v>45778</v>
      </c>
      <c r="I17" s="103"/>
      <c r="J17" s="94">
        <v>30876813.120000001</v>
      </c>
      <c r="K17" s="94">
        <v>30876813.120000001</v>
      </c>
      <c r="L17" s="89" t="s">
        <v>42</v>
      </c>
      <c r="M17" s="17" t="s">
        <v>64</v>
      </c>
      <c r="N17" s="11">
        <v>2486</v>
      </c>
      <c r="O17" s="12">
        <v>45848</v>
      </c>
      <c r="P17" s="10" t="s">
        <v>65</v>
      </c>
      <c r="Q17" s="17" t="s">
        <v>45</v>
      </c>
      <c r="R17" s="17" t="s">
        <v>46</v>
      </c>
      <c r="S17" s="94">
        <f t="shared" si="5"/>
        <v>30876813.120000001</v>
      </c>
      <c r="T17" s="94"/>
      <c r="U17" s="94">
        <f t="shared" si="12"/>
        <v>6484130.7551999995</v>
      </c>
      <c r="V17" s="94">
        <f t="shared" si="13"/>
        <v>926304.39359999995</v>
      </c>
      <c r="W17" s="94">
        <f>+S17*2.5%</f>
        <v>771920.3280000001</v>
      </c>
      <c r="X17" s="94">
        <f t="shared" si="14"/>
        <v>0</v>
      </c>
      <c r="Y17" s="94"/>
      <c r="Z17" s="94"/>
      <c r="AA17" s="94">
        <f t="shared" si="15"/>
        <v>39059168.596800007</v>
      </c>
      <c r="AB17" s="12">
        <v>46219</v>
      </c>
      <c r="AC17" s="94">
        <v>39059168.596800007</v>
      </c>
      <c r="AD17" s="10"/>
      <c r="AE17" s="94"/>
      <c r="AF17" s="10"/>
      <c r="AG17" s="94"/>
      <c r="AH17" s="94"/>
      <c r="AI17" s="94">
        <f t="shared" si="7"/>
        <v>39059168.596800007</v>
      </c>
      <c r="AJ17" s="94">
        <f t="shared" si="8"/>
        <v>0</v>
      </c>
      <c r="AK17" s="90">
        <f t="shared" si="9"/>
        <v>371</v>
      </c>
    </row>
    <row r="18" spans="1:37" ht="15" hidden="1" customHeight="1" x14ac:dyDescent="0.35">
      <c r="A18" s="17" t="s">
        <v>66</v>
      </c>
      <c r="B18" s="17" t="s">
        <v>61</v>
      </c>
      <c r="C18" s="17" t="s">
        <v>67</v>
      </c>
      <c r="D18" s="89" t="s">
        <v>68</v>
      </c>
      <c r="E18" s="89">
        <v>1</v>
      </c>
      <c r="F18" s="89" t="s">
        <v>40</v>
      </c>
      <c r="G18" s="89" t="s">
        <v>41</v>
      </c>
      <c r="H18" s="92">
        <v>45778</v>
      </c>
      <c r="I18" s="103"/>
      <c r="J18" s="94">
        <v>23489775.011511896</v>
      </c>
      <c r="K18" s="94">
        <v>23489775.011511896</v>
      </c>
      <c r="L18" s="89" t="s">
        <v>42</v>
      </c>
      <c r="M18" s="17" t="s">
        <v>64</v>
      </c>
      <c r="N18" s="18">
        <v>2488</v>
      </c>
      <c r="O18" s="12">
        <v>45848</v>
      </c>
      <c r="P18" s="17" t="s">
        <v>69</v>
      </c>
      <c r="Q18" s="17" t="s">
        <v>45</v>
      </c>
      <c r="R18" s="17" t="s">
        <v>46</v>
      </c>
      <c r="S18" s="94">
        <f t="shared" si="5"/>
        <v>23489775.011511896</v>
      </c>
      <c r="T18" s="94"/>
      <c r="U18" s="94">
        <f t="shared" si="12"/>
        <v>4932852.7524174983</v>
      </c>
      <c r="V18" s="94">
        <f t="shared" si="13"/>
        <v>704693.25034535688</v>
      </c>
      <c r="W18" s="94">
        <f t="shared" ref="W18:W32" si="16">+S18*0.3%</f>
        <v>70469.325034535694</v>
      </c>
      <c r="X18" s="94">
        <f t="shared" si="14"/>
        <v>1409386.5006907138</v>
      </c>
      <c r="Y18" s="94"/>
      <c r="Z18" s="94"/>
      <c r="AA18" s="94">
        <f t="shared" si="15"/>
        <v>30607176.84</v>
      </c>
      <c r="AB18" s="19">
        <v>45861</v>
      </c>
      <c r="AC18" s="94">
        <v>30607176.84</v>
      </c>
      <c r="AD18" s="12"/>
      <c r="AE18" s="94"/>
      <c r="AF18" s="10"/>
      <c r="AG18" s="94"/>
      <c r="AH18" s="94"/>
      <c r="AI18" s="94">
        <f t="shared" si="7"/>
        <v>30607176.84</v>
      </c>
      <c r="AJ18" s="94">
        <f t="shared" si="8"/>
        <v>0</v>
      </c>
      <c r="AK18" s="90">
        <f t="shared" si="9"/>
        <v>13</v>
      </c>
    </row>
    <row r="19" spans="1:37" ht="15" hidden="1" customHeight="1" x14ac:dyDescent="0.35">
      <c r="A19" s="17" t="s">
        <v>66</v>
      </c>
      <c r="B19" s="17" t="s">
        <v>61</v>
      </c>
      <c r="C19" s="17" t="s">
        <v>67</v>
      </c>
      <c r="D19" s="89" t="s">
        <v>68</v>
      </c>
      <c r="E19" s="89">
        <v>1</v>
      </c>
      <c r="F19" s="89" t="s">
        <v>40</v>
      </c>
      <c r="G19" s="89" t="s">
        <v>41</v>
      </c>
      <c r="H19" s="92">
        <v>45778</v>
      </c>
      <c r="I19" s="103"/>
      <c r="J19" s="94">
        <v>86901860.813507289</v>
      </c>
      <c r="K19" s="94">
        <v>86901860.813507289</v>
      </c>
      <c r="L19" s="89" t="s">
        <v>42</v>
      </c>
      <c r="M19" s="17" t="s">
        <v>64</v>
      </c>
      <c r="N19" s="18">
        <v>2490</v>
      </c>
      <c r="O19" s="12">
        <v>45882</v>
      </c>
      <c r="P19" s="17" t="s">
        <v>70</v>
      </c>
      <c r="Q19" s="17" t="s">
        <v>45</v>
      </c>
      <c r="R19" s="17" t="s">
        <v>46</v>
      </c>
      <c r="S19" s="94">
        <f t="shared" si="5"/>
        <v>86901860.813507289</v>
      </c>
      <c r="T19" s="94"/>
      <c r="U19" s="94">
        <f t="shared" si="12"/>
        <v>18249390.770836528</v>
      </c>
      <c r="V19" s="94">
        <f t="shared" si="13"/>
        <v>2607055.8244052185</v>
      </c>
      <c r="W19" s="94">
        <f t="shared" si="16"/>
        <v>260705.58244052186</v>
      </c>
      <c r="X19" s="94">
        <f t="shared" si="14"/>
        <v>5214111.6488104369</v>
      </c>
      <c r="Y19" s="94"/>
      <c r="Z19" s="94"/>
      <c r="AA19" s="94">
        <f t="shared" si="15"/>
        <v>113233124.64</v>
      </c>
      <c r="AB19" s="19">
        <v>45909</v>
      </c>
      <c r="AC19" s="94">
        <v>113233124.64</v>
      </c>
      <c r="AD19" s="12"/>
      <c r="AE19" s="94"/>
      <c r="AF19" s="10"/>
      <c r="AG19" s="94"/>
      <c r="AH19" s="94"/>
      <c r="AI19" s="94">
        <f t="shared" si="7"/>
        <v>113233124.64</v>
      </c>
      <c r="AJ19" s="94">
        <f t="shared" si="8"/>
        <v>0</v>
      </c>
      <c r="AK19" s="90">
        <f t="shared" si="9"/>
        <v>27</v>
      </c>
    </row>
    <row r="20" spans="1:37" ht="15" hidden="1" customHeight="1" x14ac:dyDescent="0.35">
      <c r="A20" s="17" t="s">
        <v>66</v>
      </c>
      <c r="B20" s="17" t="s">
        <v>61</v>
      </c>
      <c r="C20" s="17" t="s">
        <v>67</v>
      </c>
      <c r="D20" s="89" t="s">
        <v>68</v>
      </c>
      <c r="E20" s="89">
        <v>1</v>
      </c>
      <c r="F20" s="89" t="s">
        <v>71</v>
      </c>
      <c r="G20" s="89" t="s">
        <v>48</v>
      </c>
      <c r="H20" s="92">
        <v>45778</v>
      </c>
      <c r="I20" s="103"/>
      <c r="J20" s="94">
        <v>4206050.0613967776</v>
      </c>
      <c r="K20" s="94">
        <v>4206050.0613967776</v>
      </c>
      <c r="L20" s="89" t="s">
        <v>42</v>
      </c>
      <c r="M20" s="17" t="s">
        <v>64</v>
      </c>
      <c r="N20" s="18">
        <v>2491</v>
      </c>
      <c r="O20" s="12">
        <v>45882</v>
      </c>
      <c r="P20" s="17" t="s">
        <v>72</v>
      </c>
      <c r="Q20" s="17" t="s">
        <v>45</v>
      </c>
      <c r="R20" s="17" t="s">
        <v>46</v>
      </c>
      <c r="S20" s="94">
        <f t="shared" si="5"/>
        <v>4206050.0613967776</v>
      </c>
      <c r="T20" s="94"/>
      <c r="U20" s="94">
        <f t="shared" si="12"/>
        <v>883270.51289332332</v>
      </c>
      <c r="V20" s="94">
        <f t="shared" si="13"/>
        <v>126181.50184190333</v>
      </c>
      <c r="W20" s="94">
        <f t="shared" si="16"/>
        <v>12618.150184190334</v>
      </c>
      <c r="X20" s="94">
        <f t="shared" si="14"/>
        <v>252363.00368380666</v>
      </c>
      <c r="Y20" s="94"/>
      <c r="Z20" s="94"/>
      <c r="AA20" s="94">
        <f t="shared" si="15"/>
        <v>5480483.2300000004</v>
      </c>
      <c r="AB20" s="19">
        <v>45909</v>
      </c>
      <c r="AC20" s="94">
        <v>5480483.2300000004</v>
      </c>
      <c r="AD20" s="12"/>
      <c r="AE20" s="94"/>
      <c r="AF20" s="10"/>
      <c r="AG20" s="94"/>
      <c r="AH20" s="94"/>
      <c r="AI20" s="94">
        <f t="shared" si="7"/>
        <v>5480483.2300000004</v>
      </c>
      <c r="AJ20" s="94">
        <f t="shared" si="8"/>
        <v>0</v>
      </c>
      <c r="AK20" s="90">
        <f t="shared" si="9"/>
        <v>27</v>
      </c>
    </row>
    <row r="21" spans="1:37" ht="15" hidden="1" customHeight="1" x14ac:dyDescent="0.35">
      <c r="A21" s="17" t="s">
        <v>66</v>
      </c>
      <c r="B21" s="17" t="s">
        <v>61</v>
      </c>
      <c r="C21" s="17" t="s">
        <v>67</v>
      </c>
      <c r="D21" s="89" t="s">
        <v>68</v>
      </c>
      <c r="E21" s="89">
        <v>2</v>
      </c>
      <c r="F21" s="89" t="s">
        <v>40</v>
      </c>
      <c r="G21" s="89" t="s">
        <v>41</v>
      </c>
      <c r="H21" s="92">
        <v>45809</v>
      </c>
      <c r="I21" s="103"/>
      <c r="J21" s="94">
        <v>85346702.110514194</v>
      </c>
      <c r="K21" s="94">
        <v>85346702.110514194</v>
      </c>
      <c r="L21" s="89" t="s">
        <v>42</v>
      </c>
      <c r="M21" s="17" t="s">
        <v>64</v>
      </c>
      <c r="N21" s="18">
        <v>2494</v>
      </c>
      <c r="O21" s="12">
        <v>45896</v>
      </c>
      <c r="P21" s="17" t="s">
        <v>73</v>
      </c>
      <c r="Q21" s="17" t="s">
        <v>45</v>
      </c>
      <c r="R21" s="17" t="s">
        <v>46</v>
      </c>
      <c r="S21" s="94">
        <f t="shared" si="5"/>
        <v>85346702.110514194</v>
      </c>
      <c r="T21" s="94"/>
      <c r="U21" s="94">
        <f t="shared" si="12"/>
        <v>17922807.443207979</v>
      </c>
      <c r="V21" s="94">
        <f t="shared" si="13"/>
        <v>2560401.0633154255</v>
      </c>
      <c r="W21" s="94">
        <f t="shared" si="16"/>
        <v>256040.1063315426</v>
      </c>
      <c r="X21" s="94">
        <f t="shared" si="14"/>
        <v>5120802.1266308511</v>
      </c>
      <c r="Y21" s="94"/>
      <c r="Z21" s="94"/>
      <c r="AA21" s="94">
        <f t="shared" si="15"/>
        <v>111206752.84999999</v>
      </c>
      <c r="AB21" s="19">
        <v>45909</v>
      </c>
      <c r="AC21" s="94">
        <v>111206752.84999999</v>
      </c>
      <c r="AD21" s="12"/>
      <c r="AE21" s="94"/>
      <c r="AF21" s="10"/>
      <c r="AG21" s="94"/>
      <c r="AH21" s="94"/>
      <c r="AI21" s="94">
        <f t="shared" si="7"/>
        <v>111206752.84999999</v>
      </c>
      <c r="AJ21" s="94">
        <f t="shared" si="8"/>
        <v>0</v>
      </c>
      <c r="AK21" s="90">
        <f t="shared" si="9"/>
        <v>13</v>
      </c>
    </row>
    <row r="22" spans="1:37" ht="15" hidden="1" customHeight="1" x14ac:dyDescent="0.35">
      <c r="A22" s="17" t="s">
        <v>66</v>
      </c>
      <c r="B22" s="17" t="s">
        <v>61</v>
      </c>
      <c r="C22" s="17" t="s">
        <v>67</v>
      </c>
      <c r="D22" s="89" t="s">
        <v>68</v>
      </c>
      <c r="E22" s="89">
        <v>2</v>
      </c>
      <c r="F22" s="89" t="s">
        <v>71</v>
      </c>
      <c r="G22" s="89" t="s">
        <v>48</v>
      </c>
      <c r="H22" s="92">
        <v>45809</v>
      </c>
      <c r="I22" s="103"/>
      <c r="J22" s="94">
        <v>7110680.4988488108</v>
      </c>
      <c r="K22" s="94">
        <v>7110680.4988488108</v>
      </c>
      <c r="L22" s="89" t="s">
        <v>42</v>
      </c>
      <c r="M22" s="17" t="s">
        <v>64</v>
      </c>
      <c r="N22" s="18">
        <v>2495</v>
      </c>
      <c r="O22" s="12">
        <v>45896</v>
      </c>
      <c r="P22" s="17" t="s">
        <v>74</v>
      </c>
      <c r="Q22" s="17" t="s">
        <v>45</v>
      </c>
      <c r="R22" s="17" t="s">
        <v>46</v>
      </c>
      <c r="S22" s="94">
        <f t="shared" si="5"/>
        <v>7110680.4988488108</v>
      </c>
      <c r="T22" s="94"/>
      <c r="U22" s="94">
        <f t="shared" si="12"/>
        <v>1493242.9047582501</v>
      </c>
      <c r="V22" s="94">
        <f t="shared" si="13"/>
        <v>213320.41496546433</v>
      </c>
      <c r="W22" s="94">
        <f t="shared" si="16"/>
        <v>21332.041496546433</v>
      </c>
      <c r="X22" s="94">
        <f t="shared" si="14"/>
        <v>426640.82993092865</v>
      </c>
      <c r="Y22" s="94"/>
      <c r="Z22" s="94"/>
      <c r="AA22" s="94">
        <f t="shared" si="15"/>
        <v>9265216.6900000013</v>
      </c>
      <c r="AB22" s="19">
        <v>45926</v>
      </c>
      <c r="AC22" s="94">
        <v>9265216.6899999995</v>
      </c>
      <c r="AD22" s="12"/>
      <c r="AE22" s="94"/>
      <c r="AF22" s="10"/>
      <c r="AG22" s="94"/>
      <c r="AH22" s="94"/>
      <c r="AI22" s="94">
        <f t="shared" si="7"/>
        <v>9265216.6899999995</v>
      </c>
      <c r="AJ22" s="94">
        <f t="shared" si="8"/>
        <v>0</v>
      </c>
      <c r="AK22" s="90">
        <f t="shared" si="9"/>
        <v>30</v>
      </c>
    </row>
    <row r="23" spans="1:37" ht="15" hidden="1" customHeight="1" x14ac:dyDescent="0.35">
      <c r="A23" s="17" t="s">
        <v>66</v>
      </c>
      <c r="B23" s="17" t="s">
        <v>61</v>
      </c>
      <c r="C23" s="17" t="s">
        <v>67</v>
      </c>
      <c r="D23" s="89" t="s">
        <v>68</v>
      </c>
      <c r="E23" s="89">
        <v>2</v>
      </c>
      <c r="F23" s="89" t="s">
        <v>40</v>
      </c>
      <c r="G23" s="89" t="s">
        <v>41</v>
      </c>
      <c r="H23" s="92">
        <v>45809</v>
      </c>
      <c r="I23" s="103"/>
      <c r="J23" s="94">
        <v>51931235.51036071</v>
      </c>
      <c r="K23" s="94">
        <v>51931235.51036071</v>
      </c>
      <c r="L23" s="89" t="s">
        <v>42</v>
      </c>
      <c r="M23" s="17" t="s">
        <v>64</v>
      </c>
      <c r="N23" s="18">
        <v>2499</v>
      </c>
      <c r="O23" s="12">
        <v>45897</v>
      </c>
      <c r="P23" s="17" t="s">
        <v>73</v>
      </c>
      <c r="Q23" s="17" t="s">
        <v>45</v>
      </c>
      <c r="R23" s="17" t="s">
        <v>46</v>
      </c>
      <c r="S23" s="94">
        <f t="shared" si="5"/>
        <v>51931235.51036071</v>
      </c>
      <c r="T23" s="94"/>
      <c r="U23" s="94">
        <f t="shared" si="12"/>
        <v>10905559.457175748</v>
      </c>
      <c r="V23" s="94">
        <f t="shared" si="13"/>
        <v>1557937.0653108212</v>
      </c>
      <c r="W23" s="94">
        <f t="shared" si="16"/>
        <v>155793.70653108213</v>
      </c>
      <c r="X23" s="94">
        <f t="shared" si="14"/>
        <v>3115874.1306216423</v>
      </c>
      <c r="Y23" s="94"/>
      <c r="Z23" s="94"/>
      <c r="AA23" s="94">
        <f t="shared" si="15"/>
        <v>67666399.870000005</v>
      </c>
      <c r="AB23" s="19">
        <v>45917</v>
      </c>
      <c r="AC23" s="94">
        <v>67666399.870000005</v>
      </c>
      <c r="AD23" s="12"/>
      <c r="AE23" s="94"/>
      <c r="AF23" s="10"/>
      <c r="AG23" s="94"/>
      <c r="AH23" s="94"/>
      <c r="AI23" s="94">
        <f t="shared" si="7"/>
        <v>67666399.870000005</v>
      </c>
      <c r="AJ23" s="94">
        <f t="shared" si="8"/>
        <v>0</v>
      </c>
      <c r="AK23" s="90">
        <f t="shared" si="9"/>
        <v>20</v>
      </c>
    </row>
    <row r="24" spans="1:37" ht="15" hidden="1" customHeight="1" x14ac:dyDescent="0.35">
      <c r="A24" s="17" t="s">
        <v>66</v>
      </c>
      <c r="B24" s="17" t="s">
        <v>61</v>
      </c>
      <c r="C24" s="17" t="s">
        <v>67</v>
      </c>
      <c r="D24" s="89" t="s">
        <v>68</v>
      </c>
      <c r="E24" s="89">
        <v>2</v>
      </c>
      <c r="F24" s="89" t="s">
        <v>71</v>
      </c>
      <c r="G24" s="89" t="s">
        <v>48</v>
      </c>
      <c r="H24" s="92">
        <v>45809</v>
      </c>
      <c r="I24" s="103"/>
      <c r="J24" s="94">
        <v>1244446.6845740599</v>
      </c>
      <c r="K24" s="94">
        <v>1244446.6845740599</v>
      </c>
      <c r="L24" s="89" t="s">
        <v>42</v>
      </c>
      <c r="M24" s="17" t="s">
        <v>64</v>
      </c>
      <c r="N24" s="18">
        <v>2500</v>
      </c>
      <c r="O24" s="12">
        <v>45897</v>
      </c>
      <c r="P24" s="17" t="s">
        <v>74</v>
      </c>
      <c r="Q24" s="17" t="s">
        <v>45</v>
      </c>
      <c r="R24" s="17" t="s">
        <v>46</v>
      </c>
      <c r="S24" s="94">
        <f t="shared" si="5"/>
        <v>1244446.6845740599</v>
      </c>
      <c r="T24" s="94"/>
      <c r="U24" s="94">
        <f t="shared" si="12"/>
        <v>261333.80376055258</v>
      </c>
      <c r="V24" s="94">
        <f t="shared" si="13"/>
        <v>37333.400537221794</v>
      </c>
      <c r="W24" s="94">
        <f t="shared" si="16"/>
        <v>3733.3400537221796</v>
      </c>
      <c r="X24" s="94">
        <f t="shared" si="14"/>
        <v>74666.801074443589</v>
      </c>
      <c r="Y24" s="94"/>
      <c r="Z24" s="94"/>
      <c r="AA24" s="94">
        <f t="shared" si="15"/>
        <v>1621514.03</v>
      </c>
      <c r="AB24" s="19">
        <v>45917</v>
      </c>
      <c r="AC24" s="94">
        <v>1621514.03</v>
      </c>
      <c r="AD24" s="12"/>
      <c r="AE24" s="94"/>
      <c r="AF24" s="10"/>
      <c r="AG24" s="94"/>
      <c r="AH24" s="94"/>
      <c r="AI24" s="94">
        <f t="shared" si="7"/>
        <v>1621514.03</v>
      </c>
      <c r="AJ24" s="94">
        <f t="shared" si="8"/>
        <v>0</v>
      </c>
      <c r="AK24" s="90">
        <f t="shared" si="9"/>
        <v>20</v>
      </c>
    </row>
    <row r="25" spans="1:37" ht="15" hidden="1" customHeight="1" x14ac:dyDescent="0.35">
      <c r="A25" s="17" t="s">
        <v>66</v>
      </c>
      <c r="B25" s="17" t="s">
        <v>61</v>
      </c>
      <c r="C25" s="17" t="s">
        <v>67</v>
      </c>
      <c r="D25" s="89" t="s">
        <v>68</v>
      </c>
      <c r="E25" s="89">
        <v>3</v>
      </c>
      <c r="F25" s="89" t="s">
        <v>40</v>
      </c>
      <c r="G25" s="89" t="s">
        <v>41</v>
      </c>
      <c r="H25" s="92">
        <v>45839</v>
      </c>
      <c r="I25" s="103"/>
      <c r="J25" s="94">
        <v>130220964.56638528</v>
      </c>
      <c r="K25" s="94">
        <v>130220964.56638528</v>
      </c>
      <c r="L25" s="89" t="s">
        <v>42</v>
      </c>
      <c r="M25" s="17" t="s">
        <v>64</v>
      </c>
      <c r="N25" s="18">
        <v>2504</v>
      </c>
      <c r="O25" s="12">
        <v>45903</v>
      </c>
      <c r="P25" s="17" t="s">
        <v>75</v>
      </c>
      <c r="Q25" s="17" t="s">
        <v>45</v>
      </c>
      <c r="R25" s="17" t="s">
        <v>46</v>
      </c>
      <c r="S25" s="94">
        <f t="shared" si="5"/>
        <v>130220964.56638528</v>
      </c>
      <c r="T25" s="94"/>
      <c r="U25" s="94">
        <f t="shared" si="12"/>
        <v>27346402.55894091</v>
      </c>
      <c r="V25" s="94">
        <f t="shared" si="13"/>
        <v>3906628.9369915584</v>
      </c>
      <c r="W25" s="94">
        <f t="shared" si="16"/>
        <v>390662.89369915589</v>
      </c>
      <c r="X25" s="94">
        <f t="shared" si="14"/>
        <v>7813257.8739831168</v>
      </c>
      <c r="Y25" s="94"/>
      <c r="Z25" s="94"/>
      <c r="AA25" s="94">
        <f t="shared" si="15"/>
        <v>169677916.83000004</v>
      </c>
      <c r="AB25" s="19">
        <v>45926</v>
      </c>
      <c r="AC25" s="94">
        <v>169677916.83000001</v>
      </c>
      <c r="AD25" s="12"/>
      <c r="AE25" s="94"/>
      <c r="AF25" s="10"/>
      <c r="AG25" s="94"/>
      <c r="AH25" s="94"/>
      <c r="AI25" s="94">
        <f t="shared" si="7"/>
        <v>169677916.83000001</v>
      </c>
      <c r="AJ25" s="94">
        <f t="shared" si="8"/>
        <v>0</v>
      </c>
      <c r="AK25" s="90">
        <f t="shared" si="9"/>
        <v>23</v>
      </c>
    </row>
    <row r="26" spans="1:37" ht="15" hidden="1" customHeight="1" x14ac:dyDescent="0.35">
      <c r="A26" s="17" t="s">
        <v>66</v>
      </c>
      <c r="B26" s="17" t="s">
        <v>61</v>
      </c>
      <c r="C26" s="17" t="s">
        <v>67</v>
      </c>
      <c r="D26" s="89" t="s">
        <v>68</v>
      </c>
      <c r="E26" s="89">
        <v>3</v>
      </c>
      <c r="F26" s="89" t="s">
        <v>71</v>
      </c>
      <c r="G26" s="89" t="s">
        <v>48</v>
      </c>
      <c r="H26" s="92">
        <v>45839</v>
      </c>
      <c r="I26" s="103"/>
      <c r="J26" s="94">
        <v>10236945.165003838</v>
      </c>
      <c r="K26" s="94">
        <v>10236945.165003838</v>
      </c>
      <c r="L26" s="89" t="s">
        <v>42</v>
      </c>
      <c r="M26" s="17" t="s">
        <v>64</v>
      </c>
      <c r="N26" s="18">
        <v>2505</v>
      </c>
      <c r="O26" s="12">
        <v>45903</v>
      </c>
      <c r="P26" s="17" t="s">
        <v>76</v>
      </c>
      <c r="Q26" s="17" t="s">
        <v>45</v>
      </c>
      <c r="R26" s="17" t="s">
        <v>46</v>
      </c>
      <c r="S26" s="94">
        <f t="shared" si="5"/>
        <v>10236945.165003838</v>
      </c>
      <c r="T26" s="94"/>
      <c r="U26" s="94">
        <f t="shared" si="12"/>
        <v>2149758.4846508061</v>
      </c>
      <c r="V26" s="94">
        <f t="shared" si="13"/>
        <v>307108.35495011514</v>
      </c>
      <c r="W26" s="94">
        <f t="shared" si="16"/>
        <v>30710.835495011514</v>
      </c>
      <c r="X26" s="94">
        <f t="shared" si="14"/>
        <v>614216.70990023029</v>
      </c>
      <c r="Y26" s="94"/>
      <c r="Z26" s="94"/>
      <c r="AA26" s="94">
        <f t="shared" si="15"/>
        <v>13338739.550000001</v>
      </c>
      <c r="AB26" s="19">
        <v>45926</v>
      </c>
      <c r="AC26" s="94">
        <v>13338739.550000001</v>
      </c>
      <c r="AD26" s="12"/>
      <c r="AE26" s="94"/>
      <c r="AF26" s="10"/>
      <c r="AG26" s="94"/>
      <c r="AH26" s="94"/>
      <c r="AI26" s="94">
        <f t="shared" si="7"/>
        <v>13338739.550000001</v>
      </c>
      <c r="AJ26" s="94">
        <f t="shared" si="8"/>
        <v>0</v>
      </c>
      <c r="AK26" s="90">
        <f t="shared" si="9"/>
        <v>23</v>
      </c>
    </row>
    <row r="27" spans="1:37" ht="15" hidden="1" customHeight="1" x14ac:dyDescent="0.35">
      <c r="A27" s="17" t="s">
        <v>66</v>
      </c>
      <c r="B27" s="17" t="s">
        <v>61</v>
      </c>
      <c r="C27" s="17" t="s">
        <v>67</v>
      </c>
      <c r="D27" s="89" t="s">
        <v>68</v>
      </c>
      <c r="E27" s="89">
        <v>3</v>
      </c>
      <c r="F27" s="89" t="s">
        <v>40</v>
      </c>
      <c r="G27" s="89" t="s">
        <v>41</v>
      </c>
      <c r="H27" s="92">
        <v>45839</v>
      </c>
      <c r="I27" s="103"/>
      <c r="J27" s="94">
        <v>11131246.07828089</v>
      </c>
      <c r="K27" s="94">
        <v>11131246.07828089</v>
      </c>
      <c r="L27" s="89" t="s">
        <v>42</v>
      </c>
      <c r="M27" s="17" t="s">
        <v>64</v>
      </c>
      <c r="N27" s="18">
        <v>2506</v>
      </c>
      <c r="O27" s="12">
        <v>45903</v>
      </c>
      <c r="P27" s="17" t="s">
        <v>75</v>
      </c>
      <c r="Q27" s="17" t="s">
        <v>45</v>
      </c>
      <c r="R27" s="17" t="s">
        <v>46</v>
      </c>
      <c r="S27" s="94">
        <f t="shared" si="5"/>
        <v>11131246.07828089</v>
      </c>
      <c r="T27" s="94"/>
      <c r="U27" s="94">
        <f t="shared" si="12"/>
        <v>2337561.6764389868</v>
      </c>
      <c r="V27" s="94">
        <f t="shared" si="13"/>
        <v>333937.38234842668</v>
      </c>
      <c r="W27" s="94">
        <f t="shared" si="16"/>
        <v>33393.738234842669</v>
      </c>
      <c r="X27" s="94">
        <f t="shared" si="14"/>
        <v>667874.76469685335</v>
      </c>
      <c r="Y27" s="94"/>
      <c r="Z27" s="94"/>
      <c r="AA27" s="94">
        <f t="shared" si="15"/>
        <v>14504013.640000001</v>
      </c>
      <c r="AB27" s="19">
        <v>45917</v>
      </c>
      <c r="AC27" s="94">
        <v>14504013.640000001</v>
      </c>
      <c r="AD27" s="12"/>
      <c r="AE27" s="94"/>
      <c r="AF27" s="10"/>
      <c r="AG27" s="94"/>
      <c r="AH27" s="94"/>
      <c r="AI27" s="94">
        <f t="shared" si="7"/>
        <v>14504013.640000001</v>
      </c>
      <c r="AJ27" s="94">
        <f t="shared" si="8"/>
        <v>0</v>
      </c>
      <c r="AK27" s="90">
        <f t="shared" si="9"/>
        <v>14</v>
      </c>
    </row>
    <row r="28" spans="1:37" ht="15" hidden="1" customHeight="1" x14ac:dyDescent="0.35">
      <c r="A28" s="17" t="s">
        <v>66</v>
      </c>
      <c r="B28" s="17" t="s">
        <v>61</v>
      </c>
      <c r="C28" s="17" t="s">
        <v>67</v>
      </c>
      <c r="D28" s="89" t="s">
        <v>68</v>
      </c>
      <c r="E28" s="89">
        <v>3</v>
      </c>
      <c r="F28" s="89" t="s">
        <v>71</v>
      </c>
      <c r="G28" s="89" t="s">
        <v>48</v>
      </c>
      <c r="H28" s="92">
        <v>45839</v>
      </c>
      <c r="I28" s="103"/>
      <c r="J28" s="94">
        <v>656634.15963161946</v>
      </c>
      <c r="K28" s="94">
        <v>656634.15963161946</v>
      </c>
      <c r="L28" s="89" t="s">
        <v>42</v>
      </c>
      <c r="M28" s="17" t="s">
        <v>64</v>
      </c>
      <c r="N28" s="18">
        <v>2507</v>
      </c>
      <c r="O28" s="12">
        <v>45903</v>
      </c>
      <c r="P28" s="17" t="s">
        <v>76</v>
      </c>
      <c r="Q28" s="17" t="s">
        <v>45</v>
      </c>
      <c r="R28" s="17" t="s">
        <v>46</v>
      </c>
      <c r="S28" s="94">
        <f t="shared" si="5"/>
        <v>656634.15963161946</v>
      </c>
      <c r="T28" s="94"/>
      <c r="U28" s="94">
        <f t="shared" si="12"/>
        <v>137893.17352264008</v>
      </c>
      <c r="V28" s="94">
        <f t="shared" si="13"/>
        <v>19699.024788948584</v>
      </c>
      <c r="W28" s="94">
        <f t="shared" si="16"/>
        <v>1969.9024788948584</v>
      </c>
      <c r="X28" s="94">
        <f t="shared" si="14"/>
        <v>39398.049577897167</v>
      </c>
      <c r="Y28" s="94"/>
      <c r="Z28" s="94"/>
      <c r="AA28" s="94">
        <f t="shared" si="15"/>
        <v>855594.31</v>
      </c>
      <c r="AB28" s="19">
        <v>45917</v>
      </c>
      <c r="AC28" s="94">
        <v>855594.31</v>
      </c>
      <c r="AD28" s="12"/>
      <c r="AE28" s="94"/>
      <c r="AF28" s="10"/>
      <c r="AG28" s="94"/>
      <c r="AH28" s="94"/>
      <c r="AI28" s="94">
        <f t="shared" si="7"/>
        <v>855594.31</v>
      </c>
      <c r="AJ28" s="94">
        <f t="shared" si="8"/>
        <v>0</v>
      </c>
      <c r="AK28" s="90">
        <f t="shared" si="9"/>
        <v>14</v>
      </c>
    </row>
    <row r="29" spans="1:37" ht="15" hidden="1" customHeight="1" x14ac:dyDescent="0.35">
      <c r="A29" s="17" t="s">
        <v>66</v>
      </c>
      <c r="B29" s="17" t="s">
        <v>61</v>
      </c>
      <c r="C29" s="17" t="s">
        <v>67</v>
      </c>
      <c r="D29" s="89" t="s">
        <v>68</v>
      </c>
      <c r="E29" s="89">
        <v>4</v>
      </c>
      <c r="F29" s="89" t="s">
        <v>40</v>
      </c>
      <c r="G29" s="89" t="s">
        <v>41</v>
      </c>
      <c r="H29" s="92">
        <v>45870</v>
      </c>
      <c r="I29" s="103"/>
      <c r="J29" s="94">
        <v>131512632.15656178</v>
      </c>
      <c r="K29" s="94">
        <v>131512632.15656178</v>
      </c>
      <c r="L29" s="89" t="s">
        <v>42</v>
      </c>
      <c r="M29" s="17" t="s">
        <v>64</v>
      </c>
      <c r="N29" s="18">
        <v>2509</v>
      </c>
      <c r="O29" s="12">
        <v>45915</v>
      </c>
      <c r="P29" s="17" t="s">
        <v>77</v>
      </c>
      <c r="Q29" s="17" t="s">
        <v>45</v>
      </c>
      <c r="R29" s="17" t="s">
        <v>46</v>
      </c>
      <c r="S29" s="94">
        <f t="shared" si="5"/>
        <v>131512632.15656178</v>
      </c>
      <c r="T29" s="94"/>
      <c r="U29" s="94">
        <f t="shared" si="12"/>
        <v>27617652.752877973</v>
      </c>
      <c r="V29" s="94">
        <f t="shared" si="13"/>
        <v>3945378.964696853</v>
      </c>
      <c r="W29" s="94">
        <f t="shared" si="16"/>
        <v>394537.89646968537</v>
      </c>
      <c r="X29" s="94">
        <f t="shared" si="14"/>
        <v>7890757.9293937059</v>
      </c>
      <c r="Y29" s="94"/>
      <c r="Z29" s="94"/>
      <c r="AA29" s="94">
        <f t="shared" si="15"/>
        <v>171360959.69999999</v>
      </c>
      <c r="AB29" s="19">
        <v>45959</v>
      </c>
      <c r="AC29" s="94">
        <v>19283382.850000001</v>
      </c>
      <c r="AD29" s="12">
        <v>45987</v>
      </c>
      <c r="AE29" s="94">
        <v>152077576.84999999</v>
      </c>
      <c r="AF29" s="10"/>
      <c r="AG29" s="94"/>
      <c r="AH29" s="94"/>
      <c r="AI29" s="94">
        <f t="shared" si="7"/>
        <v>171360959.69999999</v>
      </c>
      <c r="AJ29" s="94">
        <f t="shared" si="8"/>
        <v>0</v>
      </c>
      <c r="AK29" s="90">
        <f t="shared" si="9"/>
        <v>72</v>
      </c>
    </row>
    <row r="30" spans="1:37" ht="15" hidden="1" customHeight="1" x14ac:dyDescent="0.35">
      <c r="A30" s="17" t="s">
        <v>66</v>
      </c>
      <c r="B30" s="17" t="s">
        <v>61</v>
      </c>
      <c r="C30" s="17" t="s">
        <v>67</v>
      </c>
      <c r="D30" s="89" t="s">
        <v>68</v>
      </c>
      <c r="E30" s="89">
        <v>4</v>
      </c>
      <c r="F30" s="89" t="s">
        <v>71</v>
      </c>
      <c r="G30" s="89" t="s">
        <v>48</v>
      </c>
      <c r="H30" s="92">
        <v>45870</v>
      </c>
      <c r="I30" s="103"/>
      <c r="J30" s="94">
        <v>14665290.161166538</v>
      </c>
      <c r="K30" s="94">
        <v>14665290.161166538</v>
      </c>
      <c r="L30" s="89" t="s">
        <v>42</v>
      </c>
      <c r="M30" s="17" t="s">
        <v>64</v>
      </c>
      <c r="N30" s="18">
        <v>2510</v>
      </c>
      <c r="O30" s="12">
        <v>45915</v>
      </c>
      <c r="P30" s="17" t="s">
        <v>78</v>
      </c>
      <c r="Q30" s="17" t="s">
        <v>45</v>
      </c>
      <c r="R30" s="17" t="s">
        <v>46</v>
      </c>
      <c r="S30" s="94">
        <f t="shared" si="5"/>
        <v>14665290.161166538</v>
      </c>
      <c r="T30" s="94"/>
      <c r="U30" s="94">
        <f t="shared" si="12"/>
        <v>3079710.9338449729</v>
      </c>
      <c r="V30" s="94">
        <f t="shared" si="13"/>
        <v>439958.70483499608</v>
      </c>
      <c r="W30" s="94">
        <f t="shared" si="16"/>
        <v>43995.870483499617</v>
      </c>
      <c r="X30" s="94">
        <f t="shared" si="14"/>
        <v>879917.40966999216</v>
      </c>
      <c r="Y30" s="94"/>
      <c r="Z30" s="94"/>
      <c r="AA30" s="94">
        <f t="shared" si="15"/>
        <v>19108873.079999998</v>
      </c>
      <c r="AB30" s="19">
        <v>45987</v>
      </c>
      <c r="AC30" s="94">
        <v>19108873.079999998</v>
      </c>
      <c r="AD30" s="12"/>
      <c r="AE30" s="94"/>
      <c r="AF30" s="10"/>
      <c r="AG30" s="94"/>
      <c r="AH30" s="94"/>
      <c r="AI30" s="94">
        <f t="shared" si="7"/>
        <v>19108873.079999998</v>
      </c>
      <c r="AJ30" s="94">
        <f t="shared" si="8"/>
        <v>0</v>
      </c>
      <c r="AK30" s="90">
        <f t="shared" si="9"/>
        <v>72</v>
      </c>
    </row>
    <row r="31" spans="1:37" ht="15" hidden="1" customHeight="1" x14ac:dyDescent="0.35">
      <c r="A31" s="17" t="s">
        <v>66</v>
      </c>
      <c r="B31" s="17" t="s">
        <v>61</v>
      </c>
      <c r="C31" s="17" t="s">
        <v>67</v>
      </c>
      <c r="D31" s="89" t="s">
        <v>68</v>
      </c>
      <c r="E31" s="89">
        <v>4</v>
      </c>
      <c r="F31" s="89" t="s">
        <v>40</v>
      </c>
      <c r="G31" s="89" t="s">
        <v>41</v>
      </c>
      <c r="H31" s="92">
        <v>45870</v>
      </c>
      <c r="I31" s="103"/>
      <c r="J31" s="94">
        <v>10560323.430544896</v>
      </c>
      <c r="K31" s="94">
        <v>10560323.430544896</v>
      </c>
      <c r="L31" s="89" t="s">
        <v>42</v>
      </c>
      <c r="M31" s="17" t="s">
        <v>64</v>
      </c>
      <c r="N31" s="18">
        <v>2511</v>
      </c>
      <c r="O31" s="12">
        <v>45915</v>
      </c>
      <c r="P31" s="17" t="s">
        <v>77</v>
      </c>
      <c r="Q31" s="17" t="s">
        <v>45</v>
      </c>
      <c r="R31" s="17" t="s">
        <v>46</v>
      </c>
      <c r="S31" s="94">
        <f t="shared" si="5"/>
        <v>10560323.430544896</v>
      </c>
      <c r="T31" s="94"/>
      <c r="U31" s="94">
        <f t="shared" si="12"/>
        <v>2217667.9204144282</v>
      </c>
      <c r="V31" s="94">
        <f t="shared" si="13"/>
        <v>316809.7029163469</v>
      </c>
      <c r="W31" s="94">
        <f t="shared" si="16"/>
        <v>31680.970291634691</v>
      </c>
      <c r="X31" s="94">
        <f t="shared" si="14"/>
        <v>633619.4058326938</v>
      </c>
      <c r="Y31" s="94"/>
      <c r="Z31" s="94"/>
      <c r="AA31" s="94">
        <f t="shared" si="15"/>
        <v>13760101.429999998</v>
      </c>
      <c r="AB31" s="19">
        <v>45939</v>
      </c>
      <c r="AC31" s="94">
        <v>13760101.43</v>
      </c>
      <c r="AD31" s="12"/>
      <c r="AE31" s="94"/>
      <c r="AF31" s="10"/>
      <c r="AG31" s="94"/>
      <c r="AH31" s="94"/>
      <c r="AI31" s="94">
        <f t="shared" si="7"/>
        <v>13760101.43</v>
      </c>
      <c r="AJ31" s="94">
        <f t="shared" si="8"/>
        <v>0</v>
      </c>
      <c r="AK31" s="90">
        <f t="shared" si="9"/>
        <v>24</v>
      </c>
    </row>
    <row r="32" spans="1:37" ht="15" hidden="1" customHeight="1" x14ac:dyDescent="0.35">
      <c r="A32" s="17" t="s">
        <v>66</v>
      </c>
      <c r="B32" s="17" t="s">
        <v>61</v>
      </c>
      <c r="C32" s="17" t="s">
        <v>67</v>
      </c>
      <c r="D32" s="89" t="s">
        <v>68</v>
      </c>
      <c r="E32" s="89">
        <v>4</v>
      </c>
      <c r="F32" s="89" t="s">
        <v>71</v>
      </c>
      <c r="G32" s="89" t="s">
        <v>48</v>
      </c>
      <c r="H32" s="92">
        <v>45870</v>
      </c>
      <c r="I32" s="103"/>
      <c r="J32" s="94">
        <v>648234.32847275515</v>
      </c>
      <c r="K32" s="94">
        <v>648234.32847275515</v>
      </c>
      <c r="L32" s="89" t="s">
        <v>42</v>
      </c>
      <c r="M32" s="17" t="s">
        <v>64</v>
      </c>
      <c r="N32" s="18">
        <v>2512</v>
      </c>
      <c r="O32" s="12">
        <v>45915</v>
      </c>
      <c r="P32" s="17" t="s">
        <v>78</v>
      </c>
      <c r="Q32" s="17" t="s">
        <v>45</v>
      </c>
      <c r="R32" s="17" t="s">
        <v>46</v>
      </c>
      <c r="S32" s="94">
        <f t="shared" si="5"/>
        <v>648234.32847275515</v>
      </c>
      <c r="T32" s="94"/>
      <c r="U32" s="94">
        <f t="shared" si="12"/>
        <v>136129.20897927857</v>
      </c>
      <c r="V32" s="94">
        <f t="shared" si="13"/>
        <v>19447.029854182652</v>
      </c>
      <c r="W32" s="94">
        <f t="shared" si="16"/>
        <v>1944.7029854182656</v>
      </c>
      <c r="X32" s="94">
        <f t="shared" si="14"/>
        <v>38894.059708365305</v>
      </c>
      <c r="Y32" s="94"/>
      <c r="Z32" s="94"/>
      <c r="AA32" s="94">
        <f t="shared" si="15"/>
        <v>844649.33</v>
      </c>
      <c r="AB32" s="19">
        <v>45939</v>
      </c>
      <c r="AC32" s="94">
        <v>844649.33</v>
      </c>
      <c r="AD32" s="12"/>
      <c r="AE32" s="94"/>
      <c r="AF32" s="10"/>
      <c r="AG32" s="94"/>
      <c r="AH32" s="94"/>
      <c r="AI32" s="94">
        <f t="shared" si="7"/>
        <v>844649.33</v>
      </c>
      <c r="AJ32" s="94">
        <f t="shared" si="8"/>
        <v>0</v>
      </c>
      <c r="AK32" s="90">
        <f t="shared" si="9"/>
        <v>24</v>
      </c>
    </row>
    <row r="33" spans="1:37" ht="15" hidden="1" customHeight="1" x14ac:dyDescent="0.35">
      <c r="A33" s="14" t="s">
        <v>79</v>
      </c>
      <c r="B33" s="14" t="s">
        <v>80</v>
      </c>
      <c r="C33" s="14" t="s">
        <v>81</v>
      </c>
      <c r="D33" s="89" t="s">
        <v>82</v>
      </c>
      <c r="E33" s="89">
        <v>4</v>
      </c>
      <c r="F33" s="89" t="s">
        <v>83</v>
      </c>
      <c r="G33" s="89" t="s">
        <v>41</v>
      </c>
      <c r="H33" s="92">
        <v>45870</v>
      </c>
      <c r="I33" s="103"/>
      <c r="J33" s="96">
        <v>17785558.379999999</v>
      </c>
      <c r="K33" s="96">
        <v>17785558.379999999</v>
      </c>
      <c r="L33" s="89" t="s">
        <v>42</v>
      </c>
      <c r="M33" s="14" t="s">
        <v>64</v>
      </c>
      <c r="N33" s="15">
        <v>2513</v>
      </c>
      <c r="O33" s="12">
        <v>45915</v>
      </c>
      <c r="P33" s="14" t="s">
        <v>84</v>
      </c>
      <c r="Q33" s="14" t="s">
        <v>45</v>
      </c>
      <c r="R33" s="14" t="s">
        <v>46</v>
      </c>
      <c r="S33" s="94">
        <f t="shared" si="5"/>
        <v>17785558.379999999</v>
      </c>
      <c r="T33" s="96"/>
      <c r="U33" s="96">
        <f t="shared" si="12"/>
        <v>3734967.2597999997</v>
      </c>
      <c r="V33" s="96">
        <f t="shared" si="13"/>
        <v>533566.75139999995</v>
      </c>
      <c r="W33" s="96">
        <f>+S33*2.5%</f>
        <v>444638.9595</v>
      </c>
      <c r="X33" s="96">
        <f t="shared" si="14"/>
        <v>0</v>
      </c>
      <c r="Y33" s="96"/>
      <c r="Z33" s="96"/>
      <c r="AA33" s="96">
        <f t="shared" si="15"/>
        <v>22498731.350699998</v>
      </c>
      <c r="AB33" s="16">
        <v>45939</v>
      </c>
      <c r="AC33" s="96">
        <v>22498731.350000001</v>
      </c>
      <c r="AD33" s="10"/>
      <c r="AE33" s="94"/>
      <c r="AF33" s="10"/>
      <c r="AG33" s="94"/>
      <c r="AH33" s="94"/>
      <c r="AI33" s="94">
        <f t="shared" si="7"/>
        <v>22498731.350000001</v>
      </c>
      <c r="AJ33" s="94">
        <f t="shared" si="8"/>
        <v>6.999969482421875E-4</v>
      </c>
      <c r="AK33" s="90">
        <f t="shared" si="9"/>
        <v>24</v>
      </c>
    </row>
    <row r="34" spans="1:37" ht="15" hidden="1" customHeight="1" x14ac:dyDescent="0.35">
      <c r="A34" s="14" t="s">
        <v>85</v>
      </c>
      <c r="B34" s="14" t="s">
        <v>80</v>
      </c>
      <c r="C34" s="14" t="s">
        <v>86</v>
      </c>
      <c r="D34" s="89" t="s">
        <v>87</v>
      </c>
      <c r="E34" s="89">
        <v>1</v>
      </c>
      <c r="F34" s="89" t="s">
        <v>88</v>
      </c>
      <c r="G34" s="89" t="s">
        <v>41</v>
      </c>
      <c r="H34" s="92">
        <v>45870</v>
      </c>
      <c r="I34" s="103"/>
      <c r="J34" s="96">
        <v>56684269.299999997</v>
      </c>
      <c r="K34" s="96">
        <v>56684269.299999997</v>
      </c>
      <c r="L34" s="89" t="s">
        <v>42</v>
      </c>
      <c r="M34" s="14" t="s">
        <v>64</v>
      </c>
      <c r="N34" s="15">
        <v>2515</v>
      </c>
      <c r="O34" s="12">
        <v>45925</v>
      </c>
      <c r="P34" s="14" t="s">
        <v>89</v>
      </c>
      <c r="Q34" s="14" t="s">
        <v>45</v>
      </c>
      <c r="R34" s="14" t="s">
        <v>46</v>
      </c>
      <c r="S34" s="94">
        <f t="shared" si="5"/>
        <v>56684269.299999997</v>
      </c>
      <c r="T34" s="96"/>
      <c r="U34" s="96">
        <f t="shared" si="12"/>
        <v>11903696.552999999</v>
      </c>
      <c r="V34" s="96">
        <f t="shared" si="13"/>
        <v>1700528.0789999999</v>
      </c>
      <c r="W34" s="96">
        <f>+S34*2.5%</f>
        <v>1417106.7324999999</v>
      </c>
      <c r="X34" s="96">
        <f t="shared" si="14"/>
        <v>0</v>
      </c>
      <c r="Y34" s="96"/>
      <c r="Z34" s="96"/>
      <c r="AA34" s="96">
        <f t="shared" si="15"/>
        <v>71705600.664499998</v>
      </c>
      <c r="AB34" s="16">
        <v>45939</v>
      </c>
      <c r="AC34" s="96">
        <v>7258769.2300000004</v>
      </c>
      <c r="AD34" s="23">
        <v>45958</v>
      </c>
      <c r="AE34" s="96">
        <v>64441927</v>
      </c>
      <c r="AF34" s="23">
        <v>45988</v>
      </c>
      <c r="AG34" s="96">
        <v>4904.43</v>
      </c>
      <c r="AH34" s="96"/>
      <c r="AI34" s="94">
        <f t="shared" si="7"/>
        <v>71705600.660000011</v>
      </c>
      <c r="AJ34" s="94">
        <f t="shared" si="8"/>
        <v>4.4999867677688599E-3</v>
      </c>
      <c r="AK34" s="90">
        <f t="shared" si="9"/>
        <v>63</v>
      </c>
    </row>
    <row r="35" spans="1:37" ht="15" hidden="1" customHeight="1" x14ac:dyDescent="0.35">
      <c r="A35" s="17" t="s">
        <v>66</v>
      </c>
      <c r="B35" s="17" t="s">
        <v>61</v>
      </c>
      <c r="C35" s="17" t="s">
        <v>67</v>
      </c>
      <c r="D35" s="89" t="s">
        <v>68</v>
      </c>
      <c r="E35" s="89">
        <v>5</v>
      </c>
      <c r="F35" s="89" t="s">
        <v>40</v>
      </c>
      <c r="G35" s="89" t="s">
        <v>41</v>
      </c>
      <c r="H35" s="92">
        <v>45901</v>
      </c>
      <c r="I35" s="103"/>
      <c r="J35" s="94">
        <v>9000058.0890253261</v>
      </c>
      <c r="K35" s="94">
        <v>9000058.0890253261</v>
      </c>
      <c r="L35" s="89" t="s">
        <v>42</v>
      </c>
      <c r="M35" s="17" t="s">
        <v>64</v>
      </c>
      <c r="N35" s="18">
        <v>2535</v>
      </c>
      <c r="O35" s="12">
        <v>45947</v>
      </c>
      <c r="P35" s="17" t="s">
        <v>90</v>
      </c>
      <c r="Q35" s="17" t="s">
        <v>45</v>
      </c>
      <c r="R35" s="17" t="s">
        <v>46</v>
      </c>
      <c r="S35" s="94">
        <f t="shared" si="5"/>
        <v>9000058.0890253261</v>
      </c>
      <c r="T35" s="94"/>
      <c r="U35" s="94">
        <f t="shared" si="12"/>
        <v>1890012.1986953183</v>
      </c>
      <c r="V35" s="94">
        <f t="shared" si="13"/>
        <v>270001.74267075979</v>
      </c>
      <c r="W35" s="94">
        <f>+S35*0.3%</f>
        <v>27000.174267075978</v>
      </c>
      <c r="X35" s="94">
        <f t="shared" si="14"/>
        <v>540003.48534151958</v>
      </c>
      <c r="Y35" s="94"/>
      <c r="Z35" s="94"/>
      <c r="AA35" s="94">
        <f t="shared" si="15"/>
        <v>11727075.689999999</v>
      </c>
      <c r="AB35" s="19">
        <v>45988</v>
      </c>
      <c r="AC35" s="94">
        <v>11727075.689999999</v>
      </c>
      <c r="AD35" s="12"/>
      <c r="AE35" s="94"/>
      <c r="AF35" s="10"/>
      <c r="AG35" s="94"/>
      <c r="AH35" s="94"/>
      <c r="AI35" s="94">
        <f t="shared" si="7"/>
        <v>11727075.689999999</v>
      </c>
      <c r="AJ35" s="94">
        <f t="shared" si="8"/>
        <v>0</v>
      </c>
      <c r="AK35" s="90">
        <f t="shared" si="9"/>
        <v>41</v>
      </c>
    </row>
    <row r="36" spans="1:37" ht="15" hidden="1" customHeight="1" x14ac:dyDescent="0.35">
      <c r="A36" s="17" t="s">
        <v>66</v>
      </c>
      <c r="B36" s="17" t="s">
        <v>61</v>
      </c>
      <c r="C36" s="17" t="s">
        <v>67</v>
      </c>
      <c r="D36" s="89" t="s">
        <v>68</v>
      </c>
      <c r="E36" s="89">
        <v>5</v>
      </c>
      <c r="F36" s="89" t="s">
        <v>71</v>
      </c>
      <c r="G36" s="89" t="s">
        <v>48</v>
      </c>
      <c r="H36" s="92">
        <v>45901</v>
      </c>
      <c r="I36" s="103"/>
      <c r="J36" s="94">
        <v>379802.45587106678</v>
      </c>
      <c r="K36" s="94">
        <v>379802.45587106678</v>
      </c>
      <c r="L36" s="89" t="s">
        <v>42</v>
      </c>
      <c r="M36" s="17" t="s">
        <v>64</v>
      </c>
      <c r="N36" s="18">
        <v>2536</v>
      </c>
      <c r="O36" s="12">
        <v>45947</v>
      </c>
      <c r="P36" s="17" t="s">
        <v>91</v>
      </c>
      <c r="Q36" s="17" t="s">
        <v>45</v>
      </c>
      <c r="R36" s="17" t="s">
        <v>46</v>
      </c>
      <c r="S36" s="94">
        <f t="shared" ref="S36:S60" si="17">+J36</f>
        <v>379802.45587106678</v>
      </c>
      <c r="T36" s="94"/>
      <c r="U36" s="94">
        <f t="shared" si="12"/>
        <v>79758.515732924017</v>
      </c>
      <c r="V36" s="94">
        <f t="shared" si="13"/>
        <v>11394.073676132002</v>
      </c>
      <c r="W36" s="94">
        <f>+S36*0.3%</f>
        <v>1139.4073676132004</v>
      </c>
      <c r="X36" s="94">
        <f t="shared" si="14"/>
        <v>22788.147352264004</v>
      </c>
      <c r="Y36" s="94"/>
      <c r="Z36" s="94"/>
      <c r="AA36" s="94">
        <f t="shared" si="15"/>
        <v>494882.60000000003</v>
      </c>
      <c r="AB36" s="19">
        <v>45988</v>
      </c>
      <c r="AC36" s="94">
        <v>494882.6</v>
      </c>
      <c r="AD36" s="12"/>
      <c r="AE36" s="94"/>
      <c r="AF36" s="10"/>
      <c r="AG36" s="94"/>
      <c r="AH36" s="94"/>
      <c r="AI36" s="94">
        <f t="shared" ref="AI36:AI60" si="18">+AC36+AE36+AG36+AH36</f>
        <v>494882.6</v>
      </c>
      <c r="AJ36" s="94">
        <f t="shared" ref="AJ36:AJ67" si="19">+AA36-AI36</f>
        <v>0</v>
      </c>
      <c r="AK36" s="90">
        <f t="shared" ref="AK36:AK60" si="20">IF(Q36="ANULADA","N/A",IF(ABS(AJ36)&gt;10,"Pendiente",IF(MAX(AB36,AD36,AF36)=0,"Pendiente",MAX(0,MAX(AB36,AD36,AF36)-O36))))</f>
        <v>41</v>
      </c>
    </row>
    <row r="37" spans="1:37" ht="15" hidden="1" customHeight="1" x14ac:dyDescent="0.35">
      <c r="A37" s="14" t="s">
        <v>79</v>
      </c>
      <c r="B37" s="14" t="s">
        <v>80</v>
      </c>
      <c r="C37" s="14" t="s">
        <v>81</v>
      </c>
      <c r="D37" s="89" t="s">
        <v>82</v>
      </c>
      <c r="E37" s="89">
        <v>5</v>
      </c>
      <c r="F37" s="89" t="s">
        <v>83</v>
      </c>
      <c r="G37" s="89" t="s">
        <v>41</v>
      </c>
      <c r="H37" s="92">
        <v>45901</v>
      </c>
      <c r="I37" s="103"/>
      <c r="J37" s="96">
        <v>17785558.379999999</v>
      </c>
      <c r="K37" s="96">
        <v>17785558.379999999</v>
      </c>
      <c r="L37" s="89" t="s">
        <v>42</v>
      </c>
      <c r="M37" s="14" t="s">
        <v>64</v>
      </c>
      <c r="N37" s="15">
        <v>2537</v>
      </c>
      <c r="O37" s="12">
        <v>45952</v>
      </c>
      <c r="P37" s="14" t="s">
        <v>92</v>
      </c>
      <c r="Q37" s="14" t="s">
        <v>45</v>
      </c>
      <c r="R37" s="14" t="s">
        <v>46</v>
      </c>
      <c r="S37" s="94">
        <f t="shared" si="17"/>
        <v>17785558.379999999</v>
      </c>
      <c r="T37" s="96"/>
      <c r="U37" s="96">
        <f t="shared" si="12"/>
        <v>3734967.2597999997</v>
      </c>
      <c r="V37" s="96">
        <f t="shared" si="13"/>
        <v>533566.75139999995</v>
      </c>
      <c r="W37" s="96">
        <f>+S37*2.5%</f>
        <v>444638.9595</v>
      </c>
      <c r="X37" s="96">
        <f t="shared" si="14"/>
        <v>0</v>
      </c>
      <c r="Y37" s="96"/>
      <c r="Z37" s="96"/>
      <c r="AA37" s="96">
        <f t="shared" si="15"/>
        <v>22498731.350699998</v>
      </c>
      <c r="AB37" s="16">
        <v>45988</v>
      </c>
      <c r="AC37" s="96">
        <v>22498731.350000001</v>
      </c>
      <c r="AD37" s="10"/>
      <c r="AE37" s="94"/>
      <c r="AF37" s="10"/>
      <c r="AG37" s="94"/>
      <c r="AH37" s="94"/>
      <c r="AI37" s="94">
        <f t="shared" si="18"/>
        <v>22498731.350000001</v>
      </c>
      <c r="AJ37" s="94">
        <f t="shared" si="19"/>
        <v>6.999969482421875E-4</v>
      </c>
      <c r="AK37" s="90">
        <f t="shared" si="20"/>
        <v>36</v>
      </c>
    </row>
    <row r="38" spans="1:37" ht="15" hidden="1" customHeight="1" x14ac:dyDescent="0.35">
      <c r="A38" s="17" t="s">
        <v>66</v>
      </c>
      <c r="B38" s="17" t="s">
        <v>61</v>
      </c>
      <c r="C38" s="17" t="s">
        <v>67</v>
      </c>
      <c r="D38" s="89" t="s">
        <v>68</v>
      </c>
      <c r="E38" s="89">
        <v>5</v>
      </c>
      <c r="F38" s="89" t="s">
        <v>40</v>
      </c>
      <c r="G38" s="89" t="s">
        <v>41</v>
      </c>
      <c r="H38" s="92">
        <v>45901</v>
      </c>
      <c r="I38" s="103"/>
      <c r="J38" s="94">
        <v>182241811.04374519</v>
      </c>
      <c r="K38" s="94">
        <v>182241811.04374519</v>
      </c>
      <c r="L38" s="89" t="s">
        <v>42</v>
      </c>
      <c r="M38" s="17" t="s">
        <v>64</v>
      </c>
      <c r="N38" s="18">
        <v>2538</v>
      </c>
      <c r="O38" s="12">
        <v>45952</v>
      </c>
      <c r="P38" s="17" t="s">
        <v>93</v>
      </c>
      <c r="Q38" s="17" t="s">
        <v>45</v>
      </c>
      <c r="R38" s="17" t="s">
        <v>46</v>
      </c>
      <c r="S38" s="94">
        <f t="shared" si="17"/>
        <v>182241811.04374519</v>
      </c>
      <c r="T38" s="94"/>
      <c r="U38" s="94">
        <f t="shared" si="12"/>
        <v>38270780.319186486</v>
      </c>
      <c r="V38" s="94">
        <f t="shared" si="13"/>
        <v>5467254.3313123556</v>
      </c>
      <c r="W38" s="94">
        <f>+S38*0.3%</f>
        <v>546725.43313123554</v>
      </c>
      <c r="X38" s="94">
        <f t="shared" si="14"/>
        <v>10934508.662624711</v>
      </c>
      <c r="Y38" s="94"/>
      <c r="Z38" s="94"/>
      <c r="AA38" s="94">
        <f t="shared" si="15"/>
        <v>237461079.78999999</v>
      </c>
      <c r="AB38" s="19">
        <v>45987</v>
      </c>
      <c r="AC38" s="94">
        <v>237461079.78999999</v>
      </c>
      <c r="AD38" s="12"/>
      <c r="AE38" s="94"/>
      <c r="AF38" s="10"/>
      <c r="AG38" s="94"/>
      <c r="AH38" s="94"/>
      <c r="AI38" s="94">
        <f t="shared" si="18"/>
        <v>237461079.78999999</v>
      </c>
      <c r="AJ38" s="94">
        <f t="shared" si="19"/>
        <v>0</v>
      </c>
      <c r="AK38" s="90">
        <f t="shared" si="20"/>
        <v>35</v>
      </c>
    </row>
    <row r="39" spans="1:37" ht="15" hidden="1" customHeight="1" x14ac:dyDescent="0.35">
      <c r="A39" s="17" t="s">
        <v>66</v>
      </c>
      <c r="B39" s="17" t="s">
        <v>61</v>
      </c>
      <c r="C39" s="17" t="s">
        <v>67</v>
      </c>
      <c r="D39" s="89" t="s">
        <v>68</v>
      </c>
      <c r="E39" s="89">
        <v>5</v>
      </c>
      <c r="F39" s="89" t="s">
        <v>71</v>
      </c>
      <c r="G39" s="89" t="s">
        <v>48</v>
      </c>
      <c r="H39" s="92">
        <v>45901</v>
      </c>
      <c r="I39" s="103"/>
      <c r="J39" s="94">
        <v>21925984.643131234</v>
      </c>
      <c r="K39" s="94">
        <v>21925984.643131234</v>
      </c>
      <c r="L39" s="89" t="s">
        <v>42</v>
      </c>
      <c r="M39" s="17" t="s">
        <v>64</v>
      </c>
      <c r="N39" s="18">
        <v>2539</v>
      </c>
      <c r="O39" s="12">
        <v>45952</v>
      </c>
      <c r="P39" s="17" t="s">
        <v>94</v>
      </c>
      <c r="Q39" s="17" t="s">
        <v>45</v>
      </c>
      <c r="R39" s="17" t="s">
        <v>46</v>
      </c>
      <c r="S39" s="94">
        <f t="shared" si="17"/>
        <v>21925984.643131234</v>
      </c>
      <c r="T39" s="94"/>
      <c r="U39" s="94">
        <f t="shared" si="12"/>
        <v>4604456.7750575589</v>
      </c>
      <c r="V39" s="94">
        <f t="shared" si="13"/>
        <v>657779.53929393704</v>
      </c>
      <c r="W39" s="94">
        <f>+S39*0.3%</f>
        <v>65777.953929393698</v>
      </c>
      <c r="X39" s="94">
        <f t="shared" si="14"/>
        <v>1315559.0785878741</v>
      </c>
      <c r="Y39" s="94"/>
      <c r="Z39" s="94"/>
      <c r="AA39" s="94">
        <f t="shared" si="15"/>
        <v>28569557.989999998</v>
      </c>
      <c r="AB39" s="19">
        <v>45987</v>
      </c>
      <c r="AC39" s="94">
        <v>28384065.280000001</v>
      </c>
      <c r="AD39" s="12">
        <v>45973</v>
      </c>
      <c r="AE39" s="94">
        <v>185492.71</v>
      </c>
      <c r="AF39" s="10"/>
      <c r="AG39" s="94"/>
      <c r="AH39" s="94"/>
      <c r="AI39" s="94">
        <f t="shared" si="18"/>
        <v>28569557.990000002</v>
      </c>
      <c r="AJ39" s="94">
        <f t="shared" si="19"/>
        <v>0</v>
      </c>
      <c r="AK39" s="90">
        <f t="shared" si="20"/>
        <v>35</v>
      </c>
    </row>
    <row r="40" spans="1:37" ht="15" hidden="1" customHeight="1" x14ac:dyDescent="0.35">
      <c r="A40" s="17" t="s">
        <v>66</v>
      </c>
      <c r="B40" s="17" t="s">
        <v>61</v>
      </c>
      <c r="C40" s="17" t="s">
        <v>67</v>
      </c>
      <c r="D40" s="89" t="s">
        <v>95</v>
      </c>
      <c r="E40" s="89">
        <v>5</v>
      </c>
      <c r="F40" s="89" t="s">
        <v>96</v>
      </c>
      <c r="G40" s="89" t="s">
        <v>41</v>
      </c>
      <c r="H40" s="92">
        <v>45901</v>
      </c>
      <c r="I40" s="103"/>
      <c r="J40" s="94">
        <v>48541826.554105915</v>
      </c>
      <c r="K40" s="94">
        <v>48541826.554105915</v>
      </c>
      <c r="L40" s="89" t="s">
        <v>42</v>
      </c>
      <c r="M40" s="17" t="s">
        <v>64</v>
      </c>
      <c r="N40" s="18">
        <v>2540</v>
      </c>
      <c r="O40" s="12">
        <v>45953</v>
      </c>
      <c r="P40" s="17" t="s">
        <v>97</v>
      </c>
      <c r="Q40" s="17" t="s">
        <v>45</v>
      </c>
      <c r="R40" s="17" t="s">
        <v>46</v>
      </c>
      <c r="S40" s="94">
        <f t="shared" si="17"/>
        <v>48541826.554105915</v>
      </c>
      <c r="T40" s="94"/>
      <c r="U40" s="94">
        <f t="shared" si="12"/>
        <v>10193783.576362241</v>
      </c>
      <c r="V40" s="94">
        <f t="shared" si="13"/>
        <v>1456254.7966231774</v>
      </c>
      <c r="W40" s="94">
        <f>+S40*0.3%</f>
        <v>145625.47966231775</v>
      </c>
      <c r="X40" s="94">
        <f t="shared" si="14"/>
        <v>2912509.5932463547</v>
      </c>
      <c r="Y40" s="94"/>
      <c r="Z40" s="94"/>
      <c r="AA40" s="94">
        <f t="shared" si="15"/>
        <v>63250000.000000007</v>
      </c>
      <c r="AB40" s="19">
        <v>45988</v>
      </c>
      <c r="AC40" s="94">
        <v>63250000</v>
      </c>
      <c r="AD40" s="12"/>
      <c r="AE40" s="94"/>
      <c r="AF40" s="10"/>
      <c r="AG40" s="94"/>
      <c r="AH40" s="94"/>
      <c r="AI40" s="94">
        <f t="shared" si="18"/>
        <v>63250000</v>
      </c>
      <c r="AJ40" s="94">
        <f t="shared" si="19"/>
        <v>0</v>
      </c>
      <c r="AK40" s="90">
        <f t="shared" si="20"/>
        <v>35</v>
      </c>
    </row>
    <row r="41" spans="1:37" ht="15" hidden="1" customHeight="1" x14ac:dyDescent="0.35">
      <c r="A41" s="17" t="s">
        <v>66</v>
      </c>
      <c r="B41" s="17" t="s">
        <v>61</v>
      </c>
      <c r="C41" s="17" t="s">
        <v>67</v>
      </c>
      <c r="D41" s="89" t="s">
        <v>95</v>
      </c>
      <c r="E41" s="89">
        <v>5</v>
      </c>
      <c r="F41" s="89" t="s">
        <v>98</v>
      </c>
      <c r="G41" s="89" t="s">
        <v>48</v>
      </c>
      <c r="H41" s="92">
        <v>45901</v>
      </c>
      <c r="I41" s="103"/>
      <c r="J41" s="94">
        <v>3262010.7444359171</v>
      </c>
      <c r="K41" s="94">
        <v>3262010.7444359171</v>
      </c>
      <c r="L41" s="89" t="s">
        <v>42</v>
      </c>
      <c r="M41" s="17" t="s">
        <v>64</v>
      </c>
      <c r="N41" s="18">
        <v>2541</v>
      </c>
      <c r="O41" s="12">
        <v>45953</v>
      </c>
      <c r="P41" s="17" t="s">
        <v>99</v>
      </c>
      <c r="Q41" s="17" t="s">
        <v>45</v>
      </c>
      <c r="R41" s="17" t="s">
        <v>46</v>
      </c>
      <c r="S41" s="94">
        <f t="shared" si="17"/>
        <v>3262010.7444359171</v>
      </c>
      <c r="T41" s="94"/>
      <c r="U41" s="94">
        <f t="shared" si="12"/>
        <v>685022.25633154262</v>
      </c>
      <c r="V41" s="94">
        <f t="shared" si="13"/>
        <v>97860.322333077507</v>
      </c>
      <c r="W41" s="94">
        <f>+S41*0.3%</f>
        <v>9786.0322333077511</v>
      </c>
      <c r="X41" s="94">
        <f t="shared" si="14"/>
        <v>195720.64466615501</v>
      </c>
      <c r="Y41" s="94"/>
      <c r="Z41" s="94"/>
      <c r="AA41" s="94">
        <f t="shared" si="15"/>
        <v>4250400</v>
      </c>
      <c r="AB41" s="19">
        <v>45988</v>
      </c>
      <c r="AC41" s="94">
        <v>4250400</v>
      </c>
      <c r="AD41" s="12"/>
      <c r="AE41" s="94"/>
      <c r="AF41" s="10"/>
      <c r="AG41" s="94"/>
      <c r="AH41" s="94"/>
      <c r="AI41" s="94">
        <f t="shared" si="18"/>
        <v>4250400</v>
      </c>
      <c r="AJ41" s="94">
        <f t="shared" si="19"/>
        <v>0</v>
      </c>
      <c r="AK41" s="90">
        <f t="shared" si="20"/>
        <v>35</v>
      </c>
    </row>
    <row r="42" spans="1:37" ht="15" hidden="1" customHeight="1" x14ac:dyDescent="0.35">
      <c r="A42" s="14" t="s">
        <v>85</v>
      </c>
      <c r="B42" s="14" t="s">
        <v>80</v>
      </c>
      <c r="C42" s="14" t="s">
        <v>86</v>
      </c>
      <c r="D42" s="89" t="s">
        <v>87</v>
      </c>
      <c r="E42" s="89">
        <v>2</v>
      </c>
      <c r="F42" s="89" t="s">
        <v>88</v>
      </c>
      <c r="G42" s="89" t="s">
        <v>41</v>
      </c>
      <c r="H42" s="92">
        <v>45901</v>
      </c>
      <c r="I42" s="103"/>
      <c r="J42" s="96">
        <v>8659893.5299999993</v>
      </c>
      <c r="K42" s="96">
        <v>8659893.5299999993</v>
      </c>
      <c r="L42" s="89" t="s">
        <v>42</v>
      </c>
      <c r="M42" s="14" t="s">
        <v>64</v>
      </c>
      <c r="N42" s="15">
        <v>2542</v>
      </c>
      <c r="O42" s="12">
        <v>45953</v>
      </c>
      <c r="P42" s="14" t="s">
        <v>100</v>
      </c>
      <c r="Q42" s="14" t="s">
        <v>45</v>
      </c>
      <c r="R42" s="14" t="s">
        <v>46</v>
      </c>
      <c r="S42" s="94">
        <f t="shared" si="17"/>
        <v>8659893.5299999993</v>
      </c>
      <c r="T42" s="96"/>
      <c r="U42" s="96">
        <f t="shared" si="12"/>
        <v>1818577.6412999998</v>
      </c>
      <c r="V42" s="96">
        <f t="shared" si="13"/>
        <v>259796.80589999998</v>
      </c>
      <c r="W42" s="96">
        <f t="shared" ref="W42:W47" si="21">+S42*2.5%</f>
        <v>216497.33825</v>
      </c>
      <c r="X42" s="96">
        <f t="shared" si="14"/>
        <v>0</v>
      </c>
      <c r="Y42" s="96"/>
      <c r="Z42" s="96"/>
      <c r="AA42" s="96">
        <f t="shared" si="15"/>
        <v>10954765.31545</v>
      </c>
      <c r="AB42" s="16">
        <v>45988</v>
      </c>
      <c r="AC42" s="96">
        <v>10954765.32</v>
      </c>
      <c r="AD42" s="98"/>
      <c r="AE42" s="94"/>
      <c r="AF42" s="34"/>
      <c r="AG42" s="94"/>
      <c r="AH42" s="94"/>
      <c r="AI42" s="94">
        <f t="shared" si="18"/>
        <v>10954765.32</v>
      </c>
      <c r="AJ42" s="94">
        <f t="shared" si="19"/>
        <v>-4.5500006526708603E-3</v>
      </c>
      <c r="AK42" s="90">
        <f t="shared" si="20"/>
        <v>35</v>
      </c>
    </row>
    <row r="43" spans="1:37" ht="15" hidden="1" customHeight="1" x14ac:dyDescent="0.35">
      <c r="A43" s="14" t="s">
        <v>85</v>
      </c>
      <c r="B43" s="14" t="s">
        <v>80</v>
      </c>
      <c r="C43" s="14" t="s">
        <v>86</v>
      </c>
      <c r="D43" s="89" t="s">
        <v>87</v>
      </c>
      <c r="E43" s="89">
        <v>2</v>
      </c>
      <c r="F43" s="89" t="s">
        <v>101</v>
      </c>
      <c r="G43" s="89" t="s">
        <v>48</v>
      </c>
      <c r="H43" s="92">
        <v>45901</v>
      </c>
      <c r="I43" s="103"/>
      <c r="J43" s="96">
        <v>954024.77</v>
      </c>
      <c r="K43" s="96">
        <v>954024.77</v>
      </c>
      <c r="L43" s="89" t="s">
        <v>42</v>
      </c>
      <c r="M43" s="14" t="s">
        <v>64</v>
      </c>
      <c r="N43" s="15">
        <v>2543</v>
      </c>
      <c r="O43" s="12">
        <v>45953</v>
      </c>
      <c r="P43" s="14" t="s">
        <v>102</v>
      </c>
      <c r="Q43" s="14" t="s">
        <v>45</v>
      </c>
      <c r="R43" s="14" t="s">
        <v>46</v>
      </c>
      <c r="S43" s="94">
        <f t="shared" si="17"/>
        <v>954024.77</v>
      </c>
      <c r="T43" s="96"/>
      <c r="U43" s="96">
        <f t="shared" si="12"/>
        <v>200345.20170000001</v>
      </c>
      <c r="V43" s="96">
        <f t="shared" si="13"/>
        <v>28620.7431</v>
      </c>
      <c r="W43" s="96">
        <f t="shared" si="21"/>
        <v>23850.619250000003</v>
      </c>
      <c r="X43" s="96">
        <f t="shared" si="14"/>
        <v>0</v>
      </c>
      <c r="Y43" s="96"/>
      <c r="Z43" s="96"/>
      <c r="AA43" s="96">
        <f t="shared" si="15"/>
        <v>1206841.3340500002</v>
      </c>
      <c r="AB43" s="16">
        <v>45988</v>
      </c>
      <c r="AC43" s="96">
        <v>1206841.3400000001</v>
      </c>
      <c r="AD43" s="98"/>
      <c r="AE43" s="94"/>
      <c r="AF43" s="34"/>
      <c r="AG43" s="94"/>
      <c r="AH43" s="94"/>
      <c r="AI43" s="94">
        <f t="shared" si="18"/>
        <v>1206841.3400000001</v>
      </c>
      <c r="AJ43" s="94">
        <f t="shared" si="19"/>
        <v>-5.9499999042600393E-3</v>
      </c>
      <c r="AK43" s="90">
        <f t="shared" si="20"/>
        <v>35</v>
      </c>
    </row>
    <row r="44" spans="1:37" ht="15" hidden="1" customHeight="1" x14ac:dyDescent="0.35">
      <c r="A44" s="14" t="s">
        <v>85</v>
      </c>
      <c r="B44" s="14" t="s">
        <v>80</v>
      </c>
      <c r="C44" s="14" t="s">
        <v>86</v>
      </c>
      <c r="D44" s="89" t="s">
        <v>103</v>
      </c>
      <c r="E44" s="89">
        <v>1</v>
      </c>
      <c r="F44" s="89" t="s">
        <v>104</v>
      </c>
      <c r="G44" s="89" t="s">
        <v>41</v>
      </c>
      <c r="H44" s="92">
        <v>45901</v>
      </c>
      <c r="I44" s="103"/>
      <c r="J44" s="96">
        <v>130749094</v>
      </c>
      <c r="K44" s="96">
        <v>130749094</v>
      </c>
      <c r="L44" s="89" t="s">
        <v>42</v>
      </c>
      <c r="M44" s="14" t="s">
        <v>64</v>
      </c>
      <c r="N44" s="15">
        <v>2544</v>
      </c>
      <c r="O44" s="12">
        <v>45954</v>
      </c>
      <c r="P44" s="14" t="s">
        <v>105</v>
      </c>
      <c r="Q44" s="14" t="s">
        <v>45</v>
      </c>
      <c r="R44" s="14" t="s">
        <v>46</v>
      </c>
      <c r="S44" s="94">
        <f t="shared" si="17"/>
        <v>130749094</v>
      </c>
      <c r="T44" s="96"/>
      <c r="U44" s="96">
        <f t="shared" si="12"/>
        <v>27457309.739999998</v>
      </c>
      <c r="V44" s="96">
        <f t="shared" si="13"/>
        <v>3922472.82</v>
      </c>
      <c r="W44" s="96">
        <f t="shared" si="21"/>
        <v>3268727.35</v>
      </c>
      <c r="X44" s="96">
        <f t="shared" si="14"/>
        <v>0</v>
      </c>
      <c r="Y44" s="96"/>
      <c r="Z44" s="96"/>
      <c r="AA44" s="96">
        <f t="shared" si="15"/>
        <v>165397603.91</v>
      </c>
      <c r="AB44" s="16">
        <v>45988</v>
      </c>
      <c r="AC44" s="96">
        <v>136758805.27000001</v>
      </c>
      <c r="AD44" s="23">
        <v>46064</v>
      </c>
      <c r="AE44" s="96">
        <v>28638798.640000001</v>
      </c>
      <c r="AF44" s="34"/>
      <c r="AG44" s="94"/>
      <c r="AH44" s="94"/>
      <c r="AI44" s="94">
        <f t="shared" si="18"/>
        <v>165397603.91000003</v>
      </c>
      <c r="AJ44" s="94">
        <f t="shared" si="19"/>
        <v>0</v>
      </c>
      <c r="AK44" s="90">
        <f t="shared" si="20"/>
        <v>110</v>
      </c>
    </row>
    <row r="45" spans="1:37" ht="15" hidden="1" customHeight="1" x14ac:dyDescent="0.35">
      <c r="A45" s="14" t="s">
        <v>79</v>
      </c>
      <c r="B45" s="14" t="s">
        <v>80</v>
      </c>
      <c r="C45" s="14" t="s">
        <v>81</v>
      </c>
      <c r="D45" s="89" t="s">
        <v>82</v>
      </c>
      <c r="E45" s="89">
        <v>6</v>
      </c>
      <c r="F45" s="89" t="s">
        <v>83</v>
      </c>
      <c r="G45" s="89" t="s">
        <v>41</v>
      </c>
      <c r="H45" s="92">
        <v>45931</v>
      </c>
      <c r="I45" s="103"/>
      <c r="J45" s="96">
        <v>17785558.379999999</v>
      </c>
      <c r="K45" s="96">
        <v>17785558.379999999</v>
      </c>
      <c r="L45" s="89" t="s">
        <v>42</v>
      </c>
      <c r="M45" s="14" t="s">
        <v>64</v>
      </c>
      <c r="N45" s="15">
        <v>2547</v>
      </c>
      <c r="O45" s="12">
        <v>45986</v>
      </c>
      <c r="P45" s="14" t="s">
        <v>106</v>
      </c>
      <c r="Q45" s="14" t="s">
        <v>45</v>
      </c>
      <c r="R45" s="14" t="s">
        <v>46</v>
      </c>
      <c r="S45" s="94">
        <f t="shared" si="17"/>
        <v>17785558.379999999</v>
      </c>
      <c r="T45" s="96"/>
      <c r="U45" s="96">
        <f t="shared" si="12"/>
        <v>3734967.2597999997</v>
      </c>
      <c r="V45" s="96">
        <f t="shared" si="13"/>
        <v>533566.75139999995</v>
      </c>
      <c r="W45" s="96">
        <f t="shared" si="21"/>
        <v>444638.9595</v>
      </c>
      <c r="X45" s="96">
        <f t="shared" si="14"/>
        <v>0</v>
      </c>
      <c r="Y45" s="96"/>
      <c r="Z45" s="96"/>
      <c r="AA45" s="96">
        <f t="shared" si="15"/>
        <v>22498731.350699998</v>
      </c>
      <c r="AB45" s="16">
        <v>46079</v>
      </c>
      <c r="AC45" s="96">
        <v>22498731.350000001</v>
      </c>
      <c r="AD45" s="10"/>
      <c r="AE45" s="94"/>
      <c r="AF45" s="10"/>
      <c r="AG45" s="94"/>
      <c r="AH45" s="94"/>
      <c r="AI45" s="94">
        <f t="shared" si="18"/>
        <v>22498731.350000001</v>
      </c>
      <c r="AJ45" s="94">
        <f t="shared" si="19"/>
        <v>6.999969482421875E-4</v>
      </c>
      <c r="AK45" s="90">
        <f t="shared" si="20"/>
        <v>93</v>
      </c>
    </row>
    <row r="46" spans="1:37" ht="15" hidden="1" customHeight="1" x14ac:dyDescent="0.35">
      <c r="A46" s="34" t="s">
        <v>79</v>
      </c>
      <c r="B46" s="14" t="s">
        <v>80</v>
      </c>
      <c r="C46" s="34" t="s">
        <v>81</v>
      </c>
      <c r="D46" s="89" t="s">
        <v>107</v>
      </c>
      <c r="E46" s="89">
        <v>1</v>
      </c>
      <c r="F46" s="89" t="s">
        <v>108</v>
      </c>
      <c r="G46" s="89" t="s">
        <v>41</v>
      </c>
      <c r="H46" s="92">
        <v>45931</v>
      </c>
      <c r="I46" s="103">
        <v>2528886.0499999998</v>
      </c>
      <c r="J46" s="94">
        <v>7988039.25</v>
      </c>
      <c r="K46" s="94">
        <v>7988039.25</v>
      </c>
      <c r="L46" s="89" t="s">
        <v>42</v>
      </c>
      <c r="M46" s="34" t="s">
        <v>64</v>
      </c>
      <c r="N46" s="35">
        <v>2549</v>
      </c>
      <c r="O46" s="12">
        <v>46028</v>
      </c>
      <c r="P46" s="34" t="s">
        <v>109</v>
      </c>
      <c r="Q46" s="34" t="s">
        <v>45</v>
      </c>
      <c r="R46" s="34" t="s">
        <v>46</v>
      </c>
      <c r="S46" s="94">
        <f t="shared" si="17"/>
        <v>7988039.25</v>
      </c>
      <c r="T46" s="94"/>
      <c r="U46" s="94">
        <f t="shared" si="12"/>
        <v>1677488.2424999999</v>
      </c>
      <c r="V46" s="94">
        <f t="shared" si="13"/>
        <v>239641.17749999999</v>
      </c>
      <c r="W46" s="94">
        <f t="shared" si="21"/>
        <v>199700.98125000001</v>
      </c>
      <c r="X46" s="94">
        <f t="shared" si="14"/>
        <v>0</v>
      </c>
      <c r="Y46" s="94"/>
      <c r="Z46" s="94"/>
      <c r="AA46" s="94">
        <f t="shared" si="15"/>
        <v>10104869.651249999</v>
      </c>
      <c r="AB46" s="36">
        <v>46079</v>
      </c>
      <c r="AC46" s="94">
        <v>10104869.651249999</v>
      </c>
      <c r="AD46" s="98"/>
      <c r="AE46" s="94"/>
      <c r="AF46" s="34"/>
      <c r="AG46" s="94"/>
      <c r="AH46" s="94"/>
      <c r="AI46" s="94">
        <f t="shared" si="18"/>
        <v>10104869.651249999</v>
      </c>
      <c r="AJ46" s="94">
        <f t="shared" si="19"/>
        <v>0</v>
      </c>
      <c r="AK46" s="90">
        <f t="shared" si="20"/>
        <v>51</v>
      </c>
    </row>
    <row r="47" spans="1:37" ht="15" hidden="1" customHeight="1" x14ac:dyDescent="0.35">
      <c r="A47" s="34" t="s">
        <v>79</v>
      </c>
      <c r="B47" s="14" t="s">
        <v>80</v>
      </c>
      <c r="C47" s="34" t="s">
        <v>81</v>
      </c>
      <c r="D47" s="89" t="s">
        <v>110</v>
      </c>
      <c r="E47" s="89">
        <v>1</v>
      </c>
      <c r="F47" s="89" t="s">
        <v>111</v>
      </c>
      <c r="G47" s="89" t="s">
        <v>48</v>
      </c>
      <c r="H47" s="92">
        <v>45931</v>
      </c>
      <c r="I47" s="103"/>
      <c r="J47" s="94">
        <v>431697.66</v>
      </c>
      <c r="K47" s="94">
        <v>431697.66</v>
      </c>
      <c r="L47" s="89" t="s">
        <v>42</v>
      </c>
      <c r="M47" s="34" t="s">
        <v>64</v>
      </c>
      <c r="N47" s="35">
        <v>2550</v>
      </c>
      <c r="O47" s="12">
        <v>46028</v>
      </c>
      <c r="P47" s="34" t="s">
        <v>112</v>
      </c>
      <c r="Q47" s="34" t="s">
        <v>45</v>
      </c>
      <c r="R47" s="34" t="s">
        <v>46</v>
      </c>
      <c r="S47" s="94">
        <f t="shared" si="17"/>
        <v>431697.66</v>
      </c>
      <c r="T47" s="94"/>
      <c r="U47" s="94">
        <f t="shared" si="12"/>
        <v>90656.508599999986</v>
      </c>
      <c r="V47" s="94">
        <f t="shared" si="13"/>
        <v>12950.929799999998</v>
      </c>
      <c r="W47" s="94">
        <f t="shared" si="21"/>
        <v>10792.441500000001</v>
      </c>
      <c r="X47" s="94">
        <f t="shared" si="14"/>
        <v>0</v>
      </c>
      <c r="Y47" s="94"/>
      <c r="Z47" s="94"/>
      <c r="AA47" s="94">
        <f t="shared" si="15"/>
        <v>546097.53989999997</v>
      </c>
      <c r="AB47" s="36">
        <v>46079</v>
      </c>
      <c r="AC47" s="94">
        <v>546097.53989999997</v>
      </c>
      <c r="AD47" s="98"/>
      <c r="AE47" s="94"/>
      <c r="AF47" s="34"/>
      <c r="AG47" s="94"/>
      <c r="AH47" s="94"/>
      <c r="AI47" s="94">
        <f t="shared" si="18"/>
        <v>546097.53989999997</v>
      </c>
      <c r="AJ47" s="94">
        <f t="shared" si="19"/>
        <v>0</v>
      </c>
      <c r="AK47" s="90">
        <f t="shared" si="20"/>
        <v>51</v>
      </c>
    </row>
    <row r="48" spans="1:37" ht="15" hidden="1" customHeight="1" x14ac:dyDescent="0.35">
      <c r="A48" s="17" t="s">
        <v>66</v>
      </c>
      <c r="B48" s="17" t="s">
        <v>61</v>
      </c>
      <c r="C48" s="17" t="s">
        <v>67</v>
      </c>
      <c r="D48" s="89" t="s">
        <v>68</v>
      </c>
      <c r="E48" s="89">
        <v>6</v>
      </c>
      <c r="F48" s="89" t="s">
        <v>40</v>
      </c>
      <c r="G48" s="89" t="s">
        <v>41</v>
      </c>
      <c r="H48" s="92">
        <v>45931</v>
      </c>
      <c r="I48" s="103"/>
      <c r="J48" s="94">
        <v>247507215.11000001</v>
      </c>
      <c r="K48" s="94">
        <v>247507215.11000001</v>
      </c>
      <c r="L48" s="89" t="s">
        <v>42</v>
      </c>
      <c r="M48" s="17" t="s">
        <v>64</v>
      </c>
      <c r="N48" s="18">
        <v>2551</v>
      </c>
      <c r="O48" s="12">
        <v>45988</v>
      </c>
      <c r="P48" s="17" t="s">
        <v>113</v>
      </c>
      <c r="Q48" s="17" t="s">
        <v>45</v>
      </c>
      <c r="R48" s="17" t="s">
        <v>46</v>
      </c>
      <c r="S48" s="94">
        <f t="shared" si="17"/>
        <v>247507215.11000001</v>
      </c>
      <c r="T48" s="94"/>
      <c r="U48" s="94">
        <f t="shared" si="12"/>
        <v>51976515.173100002</v>
      </c>
      <c r="V48" s="94"/>
      <c r="W48" s="94">
        <f>+S48*0.3%</f>
        <v>742521.64533000009</v>
      </c>
      <c r="X48" s="94">
        <f t="shared" si="14"/>
        <v>14850432.9066</v>
      </c>
      <c r="Y48" s="94"/>
      <c r="Z48" s="94"/>
      <c r="AA48" s="94">
        <f t="shared" si="15"/>
        <v>315076684.83503002</v>
      </c>
      <c r="AB48" s="19">
        <v>46003</v>
      </c>
      <c r="AC48" s="94">
        <v>315076684.83503002</v>
      </c>
      <c r="AD48" s="10"/>
      <c r="AE48" s="94"/>
      <c r="AF48" s="10"/>
      <c r="AG48" s="94"/>
      <c r="AH48" s="94"/>
      <c r="AI48" s="94">
        <f t="shared" si="18"/>
        <v>315076684.83503002</v>
      </c>
      <c r="AJ48" s="94">
        <f t="shared" si="19"/>
        <v>0</v>
      </c>
      <c r="AK48" s="90">
        <f t="shared" si="20"/>
        <v>15</v>
      </c>
    </row>
    <row r="49" spans="1:37" ht="15" hidden="1" customHeight="1" x14ac:dyDescent="0.35">
      <c r="A49" s="17" t="s">
        <v>66</v>
      </c>
      <c r="B49" s="17" t="s">
        <v>61</v>
      </c>
      <c r="C49" s="17" t="s">
        <v>67</v>
      </c>
      <c r="D49" s="89" t="s">
        <v>68</v>
      </c>
      <c r="E49" s="89">
        <v>6</v>
      </c>
      <c r="F49" s="89" t="s">
        <v>71</v>
      </c>
      <c r="G49" s="89" t="s">
        <v>48</v>
      </c>
      <c r="H49" s="92">
        <v>45931</v>
      </c>
      <c r="I49" s="103"/>
      <c r="J49" s="94">
        <v>44730628.759999998</v>
      </c>
      <c r="K49" s="94">
        <v>44730628.759999998</v>
      </c>
      <c r="L49" s="89" t="s">
        <v>42</v>
      </c>
      <c r="M49" s="17" t="s">
        <v>64</v>
      </c>
      <c r="N49" s="18">
        <v>2552</v>
      </c>
      <c r="O49" s="12">
        <v>45988</v>
      </c>
      <c r="P49" s="17" t="s">
        <v>114</v>
      </c>
      <c r="Q49" s="17" t="s">
        <v>45</v>
      </c>
      <c r="R49" s="17" t="s">
        <v>46</v>
      </c>
      <c r="S49" s="94">
        <f t="shared" si="17"/>
        <v>44730628.759999998</v>
      </c>
      <c r="T49" s="94"/>
      <c r="U49" s="94">
        <f t="shared" si="12"/>
        <v>9393432.0395999998</v>
      </c>
      <c r="V49" s="94"/>
      <c r="W49" s="94">
        <f>+S49*0.3%</f>
        <v>134191.88628000001</v>
      </c>
      <c r="X49" s="94">
        <f t="shared" si="14"/>
        <v>2683837.7256</v>
      </c>
      <c r="Y49" s="94"/>
      <c r="Z49" s="94"/>
      <c r="AA49" s="94">
        <f t="shared" si="15"/>
        <v>56942090.411479995</v>
      </c>
      <c r="AB49" s="19">
        <v>46003</v>
      </c>
      <c r="AC49" s="94">
        <v>56942090.411479995</v>
      </c>
      <c r="AD49" s="98"/>
      <c r="AE49" s="94"/>
      <c r="AF49" s="17"/>
      <c r="AG49" s="94"/>
      <c r="AH49" s="94"/>
      <c r="AI49" s="94">
        <f t="shared" si="18"/>
        <v>56942090.411479995</v>
      </c>
      <c r="AJ49" s="94">
        <f t="shared" si="19"/>
        <v>0</v>
      </c>
      <c r="AK49" s="90">
        <f t="shared" si="20"/>
        <v>15</v>
      </c>
    </row>
    <row r="50" spans="1:37" ht="15" hidden="1" customHeight="1" x14ac:dyDescent="0.35">
      <c r="A50" s="32" t="s">
        <v>115</v>
      </c>
      <c r="B50" s="14" t="s">
        <v>80</v>
      </c>
      <c r="C50" s="32" t="s">
        <v>116</v>
      </c>
      <c r="D50" s="32" t="s">
        <v>116</v>
      </c>
      <c r="E50" s="89">
        <v>1</v>
      </c>
      <c r="F50" s="89" t="s">
        <v>40</v>
      </c>
      <c r="G50" s="89" t="s">
        <v>41</v>
      </c>
      <c r="H50" s="92">
        <v>45931</v>
      </c>
      <c r="I50" s="103"/>
      <c r="J50" s="94">
        <v>39923737.960000001</v>
      </c>
      <c r="K50" s="94">
        <v>39923737.960000001</v>
      </c>
      <c r="L50" s="89" t="s">
        <v>42</v>
      </c>
      <c r="M50" s="32" t="s">
        <v>64</v>
      </c>
      <c r="N50" s="33">
        <v>2553</v>
      </c>
      <c r="O50" s="12">
        <v>46367</v>
      </c>
      <c r="P50" s="32" t="s">
        <v>117</v>
      </c>
      <c r="Q50" s="17" t="s">
        <v>45</v>
      </c>
      <c r="R50" s="17" t="s">
        <v>46</v>
      </c>
      <c r="S50" s="94">
        <f t="shared" si="17"/>
        <v>39923737.960000001</v>
      </c>
      <c r="T50" s="94"/>
      <c r="U50" s="94">
        <f t="shared" si="12"/>
        <v>8383984.9715999998</v>
      </c>
      <c r="V50" s="94">
        <f t="shared" ref="V50:V60" si="22">+S50*3%</f>
        <v>1197712.1388000001</v>
      </c>
      <c r="W50" s="94">
        <f>+S50*2.5%</f>
        <v>998093.44900000002</v>
      </c>
      <c r="X50" s="94">
        <f t="shared" si="14"/>
        <v>0</v>
      </c>
      <c r="Y50" s="94"/>
      <c r="Z50" s="94"/>
      <c r="AA50" s="94">
        <f t="shared" si="15"/>
        <v>50503528.519400008</v>
      </c>
      <c r="AB50" s="30">
        <v>46013</v>
      </c>
      <c r="AC50" s="94">
        <v>50503528.519400008</v>
      </c>
      <c r="AD50" s="98"/>
      <c r="AE50" s="94"/>
      <c r="AF50" s="32"/>
      <c r="AG50" s="94"/>
      <c r="AH50" s="94"/>
      <c r="AI50" s="94">
        <f t="shared" si="18"/>
        <v>50503528.519400008</v>
      </c>
      <c r="AJ50" s="94">
        <f t="shared" si="19"/>
        <v>0</v>
      </c>
      <c r="AK50" s="90">
        <f t="shared" si="20"/>
        <v>0</v>
      </c>
    </row>
    <row r="51" spans="1:37" ht="15" hidden="1" customHeight="1" x14ac:dyDescent="0.35">
      <c r="A51" s="32" t="s">
        <v>115</v>
      </c>
      <c r="B51" s="14" t="s">
        <v>80</v>
      </c>
      <c r="C51" s="32" t="s">
        <v>116</v>
      </c>
      <c r="D51" s="32" t="s">
        <v>116</v>
      </c>
      <c r="E51" s="89">
        <v>1</v>
      </c>
      <c r="F51" s="89" t="s">
        <v>71</v>
      </c>
      <c r="G51" s="89" t="s">
        <v>48</v>
      </c>
      <c r="H51" s="92">
        <v>45931</v>
      </c>
      <c r="I51" s="103"/>
      <c r="J51" s="94">
        <v>1940293.66</v>
      </c>
      <c r="K51" s="94">
        <v>1940293.66</v>
      </c>
      <c r="L51" s="89" t="s">
        <v>42</v>
      </c>
      <c r="M51" s="32" t="s">
        <v>64</v>
      </c>
      <c r="N51" s="33">
        <v>2554</v>
      </c>
      <c r="O51" s="12">
        <v>46367</v>
      </c>
      <c r="P51" s="32" t="s">
        <v>118</v>
      </c>
      <c r="Q51" s="17" t="s">
        <v>45</v>
      </c>
      <c r="R51" s="17" t="s">
        <v>46</v>
      </c>
      <c r="S51" s="94">
        <f t="shared" si="17"/>
        <v>1940293.66</v>
      </c>
      <c r="T51" s="94"/>
      <c r="U51" s="94">
        <f t="shared" si="12"/>
        <v>407461.66859999998</v>
      </c>
      <c r="V51" s="94">
        <f t="shared" si="22"/>
        <v>58208.809799999995</v>
      </c>
      <c r="W51" s="94">
        <f>+S51*2.5%</f>
        <v>48507.341500000002</v>
      </c>
      <c r="X51" s="94">
        <f t="shared" si="14"/>
        <v>0</v>
      </c>
      <c r="Y51" s="94"/>
      <c r="Z51" s="94"/>
      <c r="AA51" s="94">
        <f t="shared" si="15"/>
        <v>2454471.4798999997</v>
      </c>
      <c r="AB51" s="30">
        <v>46013</v>
      </c>
      <c r="AC51" s="94">
        <v>2454471.4798999997</v>
      </c>
      <c r="AD51" s="98"/>
      <c r="AE51" s="94"/>
      <c r="AF51" s="32"/>
      <c r="AG51" s="94"/>
      <c r="AH51" s="94"/>
      <c r="AI51" s="94">
        <f t="shared" si="18"/>
        <v>2454471.4798999997</v>
      </c>
      <c r="AJ51" s="94">
        <f t="shared" si="19"/>
        <v>0</v>
      </c>
      <c r="AK51" s="90">
        <f t="shared" si="20"/>
        <v>0</v>
      </c>
    </row>
    <row r="52" spans="1:37" ht="15" hidden="1" customHeight="1" x14ac:dyDescent="0.35">
      <c r="A52" s="27" t="s">
        <v>85</v>
      </c>
      <c r="B52" s="14" t="s">
        <v>80</v>
      </c>
      <c r="C52" s="27" t="s">
        <v>86</v>
      </c>
      <c r="D52" s="89" t="s">
        <v>103</v>
      </c>
      <c r="E52" s="89">
        <v>2</v>
      </c>
      <c r="F52" s="89" t="s">
        <v>104</v>
      </c>
      <c r="G52" s="89" t="s">
        <v>41</v>
      </c>
      <c r="H52" s="92">
        <v>45931</v>
      </c>
      <c r="I52" s="103"/>
      <c r="J52" s="94">
        <v>399759795.25</v>
      </c>
      <c r="K52" s="94">
        <v>399759795.25</v>
      </c>
      <c r="L52" s="89" t="s">
        <v>42</v>
      </c>
      <c r="M52" s="27" t="s">
        <v>64</v>
      </c>
      <c r="N52" s="28">
        <v>2562</v>
      </c>
      <c r="O52" s="12">
        <v>46031</v>
      </c>
      <c r="P52" s="27" t="s">
        <v>119</v>
      </c>
      <c r="Q52" s="17" t="s">
        <v>45</v>
      </c>
      <c r="R52" s="17" t="s">
        <v>46</v>
      </c>
      <c r="S52" s="94">
        <f t="shared" si="17"/>
        <v>399759795.25</v>
      </c>
      <c r="T52" s="94"/>
      <c r="U52" s="94">
        <f t="shared" si="12"/>
        <v>83949557.002499998</v>
      </c>
      <c r="V52" s="94">
        <f t="shared" si="22"/>
        <v>11992793.8575</v>
      </c>
      <c r="W52" s="94">
        <f>+S52*2.5%</f>
        <v>9993994.8812499996</v>
      </c>
      <c r="X52" s="94">
        <f t="shared" si="14"/>
        <v>0</v>
      </c>
      <c r="Y52" s="94"/>
      <c r="Z52" s="94"/>
      <c r="AA52" s="94">
        <f t="shared" si="15"/>
        <v>505696140.99125004</v>
      </c>
      <c r="AB52" s="29">
        <v>46057</v>
      </c>
      <c r="AC52" s="94">
        <v>505696140.99000001</v>
      </c>
      <c r="AD52" s="98"/>
      <c r="AE52" s="94"/>
      <c r="AF52" s="27"/>
      <c r="AG52" s="94"/>
      <c r="AH52" s="94"/>
      <c r="AI52" s="94">
        <f t="shared" si="18"/>
        <v>505696140.99000001</v>
      </c>
      <c r="AJ52" s="94">
        <f t="shared" si="19"/>
        <v>1.2500286102294922E-3</v>
      </c>
      <c r="AK52" s="90">
        <f t="shared" si="20"/>
        <v>26</v>
      </c>
    </row>
    <row r="53" spans="1:37" ht="15" hidden="1" customHeight="1" x14ac:dyDescent="0.35">
      <c r="A53" s="27" t="s">
        <v>85</v>
      </c>
      <c r="B53" s="14" t="s">
        <v>80</v>
      </c>
      <c r="C53" s="27" t="s">
        <v>86</v>
      </c>
      <c r="D53" s="89" t="s">
        <v>120</v>
      </c>
      <c r="E53" s="89">
        <v>2</v>
      </c>
      <c r="F53" s="89" t="s">
        <v>121</v>
      </c>
      <c r="G53" s="89" t="s">
        <v>48</v>
      </c>
      <c r="H53" s="92">
        <v>45931</v>
      </c>
      <c r="I53" s="103"/>
      <c r="J53" s="94">
        <v>47382370.840000004</v>
      </c>
      <c r="K53" s="94">
        <v>47382370.840000004</v>
      </c>
      <c r="L53" s="89" t="s">
        <v>42</v>
      </c>
      <c r="M53" s="27" t="s">
        <v>64</v>
      </c>
      <c r="N53" s="28">
        <v>2563</v>
      </c>
      <c r="O53" s="12">
        <v>46031</v>
      </c>
      <c r="P53" s="27" t="s">
        <v>122</v>
      </c>
      <c r="Q53" s="17" t="s">
        <v>45</v>
      </c>
      <c r="R53" s="17" t="s">
        <v>46</v>
      </c>
      <c r="S53" s="94">
        <f t="shared" si="17"/>
        <v>47382370.840000004</v>
      </c>
      <c r="T53" s="94"/>
      <c r="U53" s="94">
        <f t="shared" si="12"/>
        <v>9950297.8763999995</v>
      </c>
      <c r="V53" s="94">
        <f t="shared" si="22"/>
        <v>1421471.1252000001</v>
      </c>
      <c r="W53" s="94">
        <f>+S53*2.5%</f>
        <v>1184559.2710000002</v>
      </c>
      <c r="X53" s="94">
        <f t="shared" si="14"/>
        <v>0</v>
      </c>
      <c r="Y53" s="94"/>
      <c r="Z53" s="94"/>
      <c r="AA53" s="94">
        <f t="shared" si="15"/>
        <v>59938699.112600006</v>
      </c>
      <c r="AB53" s="29">
        <v>46036</v>
      </c>
      <c r="AC53" s="94">
        <v>383.62</v>
      </c>
      <c r="AD53" s="29">
        <v>46057</v>
      </c>
      <c r="AE53" s="94">
        <v>59938315.490000002</v>
      </c>
      <c r="AF53" s="27"/>
      <c r="AG53" s="94"/>
      <c r="AH53" s="94"/>
      <c r="AI53" s="94">
        <f t="shared" si="18"/>
        <v>59938699.109999999</v>
      </c>
      <c r="AJ53" s="94">
        <f t="shared" si="19"/>
        <v>2.6000067591667175E-3</v>
      </c>
      <c r="AK53" s="90">
        <f t="shared" si="20"/>
        <v>26</v>
      </c>
    </row>
    <row r="54" spans="1:37" ht="15" hidden="1" customHeight="1" x14ac:dyDescent="0.35">
      <c r="A54" s="24" t="s">
        <v>66</v>
      </c>
      <c r="B54" s="24" t="s">
        <v>61</v>
      </c>
      <c r="C54" s="24" t="s">
        <v>67</v>
      </c>
      <c r="D54" s="89" t="s">
        <v>68</v>
      </c>
      <c r="E54" s="89">
        <v>7</v>
      </c>
      <c r="F54" s="89" t="s">
        <v>40</v>
      </c>
      <c r="G54" s="89" t="s">
        <v>41</v>
      </c>
      <c r="H54" s="92">
        <v>45962</v>
      </c>
      <c r="I54" s="103"/>
      <c r="J54" s="94">
        <v>167064037.31</v>
      </c>
      <c r="K54" s="94">
        <v>167064037.31</v>
      </c>
      <c r="L54" s="89" t="s">
        <v>42</v>
      </c>
      <c r="M54" s="24" t="s">
        <v>64</v>
      </c>
      <c r="N54" s="25">
        <v>2556</v>
      </c>
      <c r="O54" s="12">
        <v>46028</v>
      </c>
      <c r="P54" s="24" t="s">
        <v>123</v>
      </c>
      <c r="Q54" s="24" t="s">
        <v>45</v>
      </c>
      <c r="R54" s="24" t="s">
        <v>46</v>
      </c>
      <c r="S54" s="94">
        <f t="shared" si="17"/>
        <v>167064037.31</v>
      </c>
      <c r="T54" s="94"/>
      <c r="U54" s="94">
        <f t="shared" si="12"/>
        <v>35083447.835100003</v>
      </c>
      <c r="V54" s="94">
        <f t="shared" si="22"/>
        <v>5011921.1192999994</v>
      </c>
      <c r="W54" s="94">
        <f>+S54*0.3%</f>
        <v>501192.11193000001</v>
      </c>
      <c r="X54" s="94">
        <f t="shared" si="14"/>
        <v>10023842.238599999</v>
      </c>
      <c r="Y54" s="94"/>
      <c r="Z54" s="94"/>
      <c r="AA54" s="94">
        <f t="shared" si="15"/>
        <v>217684440.61493</v>
      </c>
      <c r="AB54" s="26">
        <v>46078</v>
      </c>
      <c r="AC54" s="94">
        <v>211941407.87</v>
      </c>
      <c r="AD54" s="26">
        <v>46121</v>
      </c>
      <c r="AE54" s="94">
        <v>5743032.7400000002</v>
      </c>
      <c r="AF54" s="24"/>
      <c r="AG54" s="94"/>
      <c r="AH54" s="94"/>
      <c r="AI54" s="94">
        <f t="shared" si="18"/>
        <v>217684440.61000001</v>
      </c>
      <c r="AJ54" s="94">
        <f t="shared" si="19"/>
        <v>4.9299895763397217E-3</v>
      </c>
      <c r="AK54" s="90">
        <f t="shared" si="20"/>
        <v>93</v>
      </c>
    </row>
    <row r="55" spans="1:37" ht="15" hidden="1" customHeight="1" x14ac:dyDescent="0.35">
      <c r="A55" s="17" t="s">
        <v>66</v>
      </c>
      <c r="B55" s="17" t="s">
        <v>61</v>
      </c>
      <c r="C55" s="17" t="s">
        <v>67</v>
      </c>
      <c r="D55" s="89" t="s">
        <v>68</v>
      </c>
      <c r="E55" s="89">
        <v>7</v>
      </c>
      <c r="F55" s="89" t="s">
        <v>71</v>
      </c>
      <c r="G55" s="89" t="s">
        <v>48</v>
      </c>
      <c r="H55" s="92">
        <v>45962</v>
      </c>
      <c r="I55" s="103"/>
      <c r="J55" s="94">
        <v>37711659.340000004</v>
      </c>
      <c r="K55" s="94">
        <v>37711659.340000004</v>
      </c>
      <c r="L55" s="89" t="s">
        <v>42</v>
      </c>
      <c r="M55" s="17" t="s">
        <v>64</v>
      </c>
      <c r="N55" s="18">
        <v>2557</v>
      </c>
      <c r="O55" s="12">
        <v>46028</v>
      </c>
      <c r="P55" s="17" t="s">
        <v>124</v>
      </c>
      <c r="Q55" s="17" t="s">
        <v>45</v>
      </c>
      <c r="R55" s="17" t="s">
        <v>46</v>
      </c>
      <c r="S55" s="94">
        <f t="shared" si="17"/>
        <v>37711659.340000004</v>
      </c>
      <c r="T55" s="94"/>
      <c r="U55" s="94">
        <f t="shared" si="12"/>
        <v>7919448.4614000004</v>
      </c>
      <c r="V55" s="94">
        <f t="shared" si="22"/>
        <v>1131349.7802000002</v>
      </c>
      <c r="W55" s="94">
        <f>+S55*0.3%</f>
        <v>113134.97802000001</v>
      </c>
      <c r="X55" s="94">
        <f t="shared" si="14"/>
        <v>2262699.5604000003</v>
      </c>
      <c r="Y55" s="94"/>
      <c r="Z55" s="94"/>
      <c r="AA55" s="94">
        <f t="shared" si="15"/>
        <v>49138292.120020002</v>
      </c>
      <c r="AB55" s="19">
        <v>46078</v>
      </c>
      <c r="AC55" s="94">
        <v>49138292.119999997</v>
      </c>
      <c r="AD55" s="98"/>
      <c r="AE55" s="94"/>
      <c r="AF55" s="17"/>
      <c r="AG55" s="94"/>
      <c r="AH55" s="94"/>
      <c r="AI55" s="94">
        <f t="shared" si="18"/>
        <v>49138292.119999997</v>
      </c>
      <c r="AJ55" s="94">
        <f t="shared" si="19"/>
        <v>2.0004808902740479E-5</v>
      </c>
      <c r="AK55" s="90">
        <f t="shared" si="20"/>
        <v>50</v>
      </c>
    </row>
    <row r="56" spans="1:37" ht="15" hidden="1" customHeight="1" x14ac:dyDescent="0.35">
      <c r="A56" s="34" t="s">
        <v>79</v>
      </c>
      <c r="B56" s="14" t="s">
        <v>80</v>
      </c>
      <c r="C56" s="34" t="s">
        <v>81</v>
      </c>
      <c r="D56" s="89" t="s">
        <v>82</v>
      </c>
      <c r="E56" s="89">
        <v>7</v>
      </c>
      <c r="F56" s="89" t="s">
        <v>83</v>
      </c>
      <c r="G56" s="89" t="s">
        <v>41</v>
      </c>
      <c r="H56" s="92">
        <v>45962</v>
      </c>
      <c r="I56" s="103"/>
      <c r="J56" s="94">
        <v>17785558.379999999</v>
      </c>
      <c r="K56" s="94">
        <v>17785558.379999999</v>
      </c>
      <c r="L56" s="89" t="s">
        <v>42</v>
      </c>
      <c r="M56" s="34" t="s">
        <v>64</v>
      </c>
      <c r="N56" s="35">
        <v>2558</v>
      </c>
      <c r="O56" s="12">
        <v>46028</v>
      </c>
      <c r="P56" s="34" t="s">
        <v>125</v>
      </c>
      <c r="Q56" s="34" t="s">
        <v>45</v>
      </c>
      <c r="R56" s="34" t="s">
        <v>46</v>
      </c>
      <c r="S56" s="94">
        <f t="shared" si="17"/>
        <v>17785558.379999999</v>
      </c>
      <c r="T56" s="94"/>
      <c r="U56" s="94">
        <f t="shared" si="12"/>
        <v>3734967.2597999997</v>
      </c>
      <c r="V56" s="94">
        <f t="shared" si="22"/>
        <v>533566.75139999995</v>
      </c>
      <c r="W56" s="94">
        <f>+S56*2.5%</f>
        <v>444638.9595</v>
      </c>
      <c r="X56" s="94">
        <f t="shared" si="14"/>
        <v>0</v>
      </c>
      <c r="Y56" s="94"/>
      <c r="Z56" s="94"/>
      <c r="AA56" s="94">
        <f t="shared" si="15"/>
        <v>22498731.350699998</v>
      </c>
      <c r="AB56" s="36">
        <v>46057</v>
      </c>
      <c r="AC56" s="94">
        <v>22498731.350000001</v>
      </c>
      <c r="AD56" s="98"/>
      <c r="AE56" s="94"/>
      <c r="AF56" s="34"/>
      <c r="AG56" s="94"/>
      <c r="AH56" s="94"/>
      <c r="AI56" s="94">
        <f t="shared" si="18"/>
        <v>22498731.350000001</v>
      </c>
      <c r="AJ56" s="94">
        <f t="shared" si="19"/>
        <v>6.999969482421875E-4</v>
      </c>
      <c r="AK56" s="90">
        <f t="shared" si="20"/>
        <v>29</v>
      </c>
    </row>
    <row r="57" spans="1:37" ht="15" hidden="1" customHeight="1" x14ac:dyDescent="0.35">
      <c r="A57" s="34" t="s">
        <v>79</v>
      </c>
      <c r="B57" s="14" t="s">
        <v>80</v>
      </c>
      <c r="C57" s="34" t="s">
        <v>81</v>
      </c>
      <c r="D57" s="89" t="s">
        <v>107</v>
      </c>
      <c r="E57" s="89">
        <v>2</v>
      </c>
      <c r="F57" s="89" t="s">
        <v>108</v>
      </c>
      <c r="G57" s="89" t="s">
        <v>41</v>
      </c>
      <c r="H57" s="92">
        <v>45962</v>
      </c>
      <c r="I57" s="103">
        <v>30811758.52</v>
      </c>
      <c r="J57" s="94">
        <v>79721853.459999993</v>
      </c>
      <c r="K57" s="94">
        <v>79721853.459999993</v>
      </c>
      <c r="L57" s="89" t="s">
        <v>42</v>
      </c>
      <c r="M57" s="34" t="s">
        <v>64</v>
      </c>
      <c r="N57" s="35">
        <v>2560</v>
      </c>
      <c r="O57" s="12">
        <v>46029</v>
      </c>
      <c r="P57" s="34" t="s">
        <v>126</v>
      </c>
      <c r="Q57" s="34" t="s">
        <v>45</v>
      </c>
      <c r="R57" s="34" t="s">
        <v>46</v>
      </c>
      <c r="S57" s="94">
        <f t="shared" si="17"/>
        <v>79721853.459999993</v>
      </c>
      <c r="T57" s="94"/>
      <c r="U57" s="94">
        <f t="shared" si="12"/>
        <v>16741589.226599999</v>
      </c>
      <c r="V57" s="94">
        <f t="shared" si="22"/>
        <v>2391655.6037999997</v>
      </c>
      <c r="W57" s="94">
        <f>+S57*2.5%</f>
        <v>1993046.3365</v>
      </c>
      <c r="X57" s="94">
        <f t="shared" si="14"/>
        <v>0</v>
      </c>
      <c r="Y57" s="94"/>
      <c r="Z57" s="94"/>
      <c r="AA57" s="94">
        <f t="shared" si="15"/>
        <v>100848144.6269</v>
      </c>
      <c r="AB57" s="36">
        <v>46057</v>
      </c>
      <c r="AC57" s="94">
        <v>100848144.63</v>
      </c>
      <c r="AD57" s="98"/>
      <c r="AE57" s="94"/>
      <c r="AF57" s="34"/>
      <c r="AG57" s="94"/>
      <c r="AH57" s="94"/>
      <c r="AI57" s="94">
        <f t="shared" si="18"/>
        <v>100848144.63</v>
      </c>
      <c r="AJ57" s="94">
        <f t="shared" si="19"/>
        <v>-3.0999928712844849E-3</v>
      </c>
      <c r="AK57" s="90">
        <f t="shared" si="20"/>
        <v>28</v>
      </c>
    </row>
    <row r="58" spans="1:37" ht="15" hidden="1" customHeight="1" x14ac:dyDescent="0.35">
      <c r="A58" s="34" t="s">
        <v>79</v>
      </c>
      <c r="B58" s="14" t="s">
        <v>80</v>
      </c>
      <c r="C58" s="34" t="s">
        <v>81</v>
      </c>
      <c r="D58" s="89" t="s">
        <v>110</v>
      </c>
      <c r="E58" s="89">
        <v>2</v>
      </c>
      <c r="F58" s="89" t="s">
        <v>111</v>
      </c>
      <c r="G58" s="89" t="s">
        <v>48</v>
      </c>
      <c r="H58" s="92">
        <v>45962</v>
      </c>
      <c r="I58" s="103"/>
      <c r="J58" s="94">
        <v>11034931.380000001</v>
      </c>
      <c r="K58" s="94">
        <v>11034931.380000001</v>
      </c>
      <c r="L58" s="89" t="s">
        <v>42</v>
      </c>
      <c r="M58" s="34" t="s">
        <v>64</v>
      </c>
      <c r="N58" s="35">
        <v>2561</v>
      </c>
      <c r="O58" s="12">
        <v>46029</v>
      </c>
      <c r="P58" s="34" t="s">
        <v>127</v>
      </c>
      <c r="Q58" s="34" t="s">
        <v>45</v>
      </c>
      <c r="R58" s="34" t="s">
        <v>46</v>
      </c>
      <c r="S58" s="94">
        <f t="shared" si="17"/>
        <v>11034931.380000001</v>
      </c>
      <c r="T58" s="94"/>
      <c r="U58" s="94">
        <f t="shared" si="12"/>
        <v>2317335.5898000002</v>
      </c>
      <c r="V58" s="94">
        <f t="shared" si="22"/>
        <v>331047.94140000001</v>
      </c>
      <c r="W58" s="94">
        <f>+S58*2.5%</f>
        <v>275873.28450000001</v>
      </c>
      <c r="X58" s="94">
        <f t="shared" si="14"/>
        <v>0</v>
      </c>
      <c r="Y58" s="94"/>
      <c r="Z58" s="94"/>
      <c r="AA58" s="94">
        <f t="shared" si="15"/>
        <v>13959188.195700001</v>
      </c>
      <c r="AB58" s="36">
        <v>46057</v>
      </c>
      <c r="AC58" s="94">
        <v>13959188.189999999</v>
      </c>
      <c r="AD58" s="98"/>
      <c r="AE58" s="94"/>
      <c r="AF58" s="34"/>
      <c r="AG58" s="94"/>
      <c r="AH58" s="94"/>
      <c r="AI58" s="94">
        <f t="shared" si="18"/>
        <v>13959188.189999999</v>
      </c>
      <c r="AJ58" s="94">
        <f t="shared" si="19"/>
        <v>5.7000014930963516E-3</v>
      </c>
      <c r="AK58" s="90">
        <f t="shared" si="20"/>
        <v>28</v>
      </c>
    </row>
    <row r="59" spans="1:37" ht="15" hidden="1" customHeight="1" x14ac:dyDescent="0.35">
      <c r="A59" s="27" t="s">
        <v>85</v>
      </c>
      <c r="B59" s="14" t="s">
        <v>80</v>
      </c>
      <c r="C59" s="27" t="s">
        <v>86</v>
      </c>
      <c r="D59" s="89" t="s">
        <v>103</v>
      </c>
      <c r="E59" s="89">
        <v>3</v>
      </c>
      <c r="F59" s="89" t="s">
        <v>104</v>
      </c>
      <c r="G59" s="89" t="s">
        <v>41</v>
      </c>
      <c r="H59" s="92">
        <v>45962</v>
      </c>
      <c r="I59" s="103"/>
      <c r="J59" s="94">
        <v>381525904.25</v>
      </c>
      <c r="K59" s="94">
        <v>381525904.25</v>
      </c>
      <c r="L59" s="89" t="s">
        <v>42</v>
      </c>
      <c r="M59" s="27" t="s">
        <v>64</v>
      </c>
      <c r="N59" s="28">
        <v>2564</v>
      </c>
      <c r="O59" s="12">
        <v>46031</v>
      </c>
      <c r="P59" s="27" t="s">
        <v>128</v>
      </c>
      <c r="Q59" s="17" t="s">
        <v>45</v>
      </c>
      <c r="R59" s="17" t="s">
        <v>46</v>
      </c>
      <c r="S59" s="94">
        <f t="shared" si="17"/>
        <v>381525904.25</v>
      </c>
      <c r="T59" s="94"/>
      <c r="U59" s="94">
        <f t="shared" si="12"/>
        <v>80120439.892499998</v>
      </c>
      <c r="V59" s="94">
        <f t="shared" si="22"/>
        <v>11445777.127499999</v>
      </c>
      <c r="W59" s="94">
        <f>+S59*2.5%</f>
        <v>9538147.6062500011</v>
      </c>
      <c r="X59" s="94">
        <f t="shared" si="14"/>
        <v>0</v>
      </c>
      <c r="Y59" s="94"/>
      <c r="Z59" s="94"/>
      <c r="AA59" s="94">
        <f t="shared" si="15"/>
        <v>482630268.87624997</v>
      </c>
      <c r="AB59" s="29">
        <v>46036</v>
      </c>
      <c r="AC59" s="94">
        <v>403560.31</v>
      </c>
      <c r="AD59" s="30">
        <v>46079</v>
      </c>
      <c r="AE59" s="94">
        <v>7568028.2300000004</v>
      </c>
      <c r="AF59" s="31">
        <v>46064</v>
      </c>
      <c r="AG59" s="94">
        <v>474658680.33999997</v>
      </c>
      <c r="AH59" s="94"/>
      <c r="AI59" s="94">
        <f t="shared" si="18"/>
        <v>482630268.88</v>
      </c>
      <c r="AJ59" s="94">
        <f t="shared" si="19"/>
        <v>-3.7500262260437012E-3</v>
      </c>
      <c r="AK59" s="90">
        <f t="shared" si="20"/>
        <v>48</v>
      </c>
    </row>
    <row r="60" spans="1:37" ht="15" hidden="1" customHeight="1" x14ac:dyDescent="0.35">
      <c r="A60" s="27" t="s">
        <v>85</v>
      </c>
      <c r="B60" s="14" t="s">
        <v>80</v>
      </c>
      <c r="C60" s="27" t="s">
        <v>86</v>
      </c>
      <c r="D60" s="89" t="s">
        <v>120</v>
      </c>
      <c r="E60" s="89">
        <v>3</v>
      </c>
      <c r="F60" s="89" t="s">
        <v>121</v>
      </c>
      <c r="G60" s="89" t="s">
        <v>48</v>
      </c>
      <c r="H60" s="92">
        <v>45962</v>
      </c>
      <c r="I60" s="103"/>
      <c r="J60" s="94">
        <v>16337413.300000001</v>
      </c>
      <c r="K60" s="94">
        <v>16337413.300000001</v>
      </c>
      <c r="L60" s="89" t="s">
        <v>42</v>
      </c>
      <c r="M60" s="27" t="s">
        <v>64</v>
      </c>
      <c r="N60" s="28">
        <v>2565</v>
      </c>
      <c r="O60" s="12">
        <v>46031</v>
      </c>
      <c r="P60" s="27" t="s">
        <v>129</v>
      </c>
      <c r="Q60" s="17" t="s">
        <v>45</v>
      </c>
      <c r="R60" s="17" t="s">
        <v>46</v>
      </c>
      <c r="S60" s="94">
        <f t="shared" si="17"/>
        <v>16337413.300000001</v>
      </c>
      <c r="T60" s="94"/>
      <c r="U60" s="94">
        <f t="shared" si="12"/>
        <v>3430856.7930000001</v>
      </c>
      <c r="V60" s="94">
        <f t="shared" si="22"/>
        <v>490122.39899999998</v>
      </c>
      <c r="W60" s="94">
        <f>+S60*2.5%</f>
        <v>408435.33250000002</v>
      </c>
      <c r="X60" s="94">
        <f t="shared" si="14"/>
        <v>0</v>
      </c>
      <c r="Y60" s="94"/>
      <c r="Z60" s="94"/>
      <c r="AA60" s="94">
        <f t="shared" si="15"/>
        <v>20666827.824500002</v>
      </c>
      <c r="AB60" s="29">
        <v>46036</v>
      </c>
      <c r="AC60" s="94">
        <v>20666827.82</v>
      </c>
      <c r="AD60" s="98"/>
      <c r="AE60" s="94"/>
      <c r="AF60" s="27"/>
      <c r="AG60" s="94"/>
      <c r="AH60" s="94"/>
      <c r="AI60" s="94">
        <f t="shared" si="18"/>
        <v>20666827.82</v>
      </c>
      <c r="AJ60" s="94">
        <f t="shared" si="19"/>
        <v>4.5000016689300537E-3</v>
      </c>
      <c r="AK60" s="90">
        <f t="shared" si="20"/>
        <v>5</v>
      </c>
    </row>
    <row r="61" spans="1:37" ht="15" hidden="1" customHeight="1" x14ac:dyDescent="0.35">
      <c r="A61" s="10" t="s">
        <v>130</v>
      </c>
      <c r="B61" s="14" t="s">
        <v>131</v>
      </c>
      <c r="C61" s="10" t="s">
        <v>132</v>
      </c>
      <c r="D61" s="89" t="s">
        <v>133</v>
      </c>
      <c r="E61" s="89" t="s">
        <v>46</v>
      </c>
      <c r="F61" s="89" t="s">
        <v>134</v>
      </c>
      <c r="G61" s="89" t="s">
        <v>135</v>
      </c>
      <c r="H61" s="92">
        <v>45992</v>
      </c>
      <c r="I61" s="103"/>
      <c r="J61" s="94">
        <v>-2328405169.0300002</v>
      </c>
      <c r="K61" s="94">
        <v>-2328405169.0300002</v>
      </c>
      <c r="L61" s="89" t="s">
        <v>42</v>
      </c>
      <c r="M61" s="10" t="s">
        <v>136</v>
      </c>
      <c r="N61" s="33">
        <v>366</v>
      </c>
      <c r="O61" s="12">
        <v>46162</v>
      </c>
      <c r="P61" s="10" t="s">
        <v>137</v>
      </c>
      <c r="Q61" s="10" t="s">
        <v>45</v>
      </c>
      <c r="R61" s="10" t="s">
        <v>46</v>
      </c>
      <c r="S61" s="94">
        <v>-2328405169.0300002</v>
      </c>
      <c r="T61" s="94">
        <v>-244482542.75</v>
      </c>
      <c r="U61" s="94">
        <v>0</v>
      </c>
      <c r="V61" s="94">
        <v>0</v>
      </c>
      <c r="W61" s="94">
        <v>-69852155.069999993</v>
      </c>
      <c r="X61" s="94">
        <v>-81494180.920000002</v>
      </c>
      <c r="Y61" s="94">
        <v>0</v>
      </c>
      <c r="Z61" s="94">
        <v>-34926077.539999999</v>
      </c>
      <c r="AA61" s="94">
        <v>-2759160125.3099999</v>
      </c>
      <c r="AB61" s="26"/>
      <c r="AC61" s="94"/>
      <c r="AD61" s="10"/>
      <c r="AE61" s="94"/>
      <c r="AF61" s="10"/>
      <c r="AG61" s="94"/>
      <c r="AH61" s="94"/>
      <c r="AI61" s="94">
        <v>0</v>
      </c>
      <c r="AJ61" s="94">
        <v>0</v>
      </c>
      <c r="AK61" s="90" t="s">
        <v>46</v>
      </c>
    </row>
    <row r="62" spans="1:37" ht="15" customHeight="1" x14ac:dyDescent="0.35">
      <c r="A62" s="10" t="s">
        <v>37</v>
      </c>
      <c r="B62" s="10" t="s">
        <v>38</v>
      </c>
      <c r="C62" s="10" t="s">
        <v>39</v>
      </c>
      <c r="D62" s="89">
        <v>0</v>
      </c>
      <c r="E62" s="89">
        <v>31</v>
      </c>
      <c r="F62" s="89" t="s">
        <v>40</v>
      </c>
      <c r="G62" s="89" t="s">
        <v>41</v>
      </c>
      <c r="H62" s="92">
        <v>45992</v>
      </c>
      <c r="I62" s="103">
        <v>20450.694000000003</v>
      </c>
      <c r="J62" s="94">
        <v>184056.25</v>
      </c>
      <c r="K62" s="94">
        <v>184056.25</v>
      </c>
      <c r="L62" s="89" t="s">
        <v>42</v>
      </c>
      <c r="M62" s="10" t="s">
        <v>43</v>
      </c>
      <c r="N62" s="11">
        <v>2011</v>
      </c>
      <c r="O62" s="12">
        <v>46056</v>
      </c>
      <c r="P62" s="10" t="s">
        <v>138</v>
      </c>
      <c r="Q62" s="10" t="s">
        <v>45</v>
      </c>
      <c r="R62" s="10" t="s">
        <v>46</v>
      </c>
      <c r="S62" s="94">
        <f t="shared" ref="S62:S77" si="23">+J62</f>
        <v>184056.25</v>
      </c>
      <c r="T62" s="94"/>
      <c r="U62" s="94">
        <v>0</v>
      </c>
      <c r="V62" s="94">
        <v>0</v>
      </c>
      <c r="W62" s="94">
        <f>IF(A62="00-175",U62*0.003,U62*0.025)</f>
        <v>0</v>
      </c>
      <c r="X62" s="94">
        <f>IF(A62="00-175",U62*0.06,0)</f>
        <v>0</v>
      </c>
      <c r="Y62" s="94">
        <v>0</v>
      </c>
      <c r="Z62" s="94"/>
      <c r="AA62" s="94">
        <f>+S62+T62+U62+W62+X62</f>
        <v>184056.25</v>
      </c>
      <c r="AB62" s="10"/>
      <c r="AC62" s="94"/>
      <c r="AD62" s="10"/>
      <c r="AE62" s="94"/>
      <c r="AF62" s="10"/>
      <c r="AG62" s="94"/>
      <c r="AH62" s="94"/>
      <c r="AI62" s="94">
        <f t="shared" ref="AI62:AI77" si="24">+AC62+AE62+AG62+AH62</f>
        <v>0</v>
      </c>
      <c r="AJ62" s="94">
        <f t="shared" si="19"/>
        <v>184056.25</v>
      </c>
      <c r="AK62" s="90" t="str">
        <f t="shared" ref="AK62:AK77" si="25">IF(Q62="ANULADA","N/A",IF(ABS(AJ62)&gt;10,"Pendiente",IF(MAX(AB62,AD62,AF62)=0,"Pendiente",MAX(0,MAX(AB62,AD62,AF62)-O62))))</f>
        <v>Pendiente</v>
      </c>
    </row>
    <row r="63" spans="1:37" ht="15" customHeight="1" x14ac:dyDescent="0.35">
      <c r="A63" s="10" t="s">
        <v>37</v>
      </c>
      <c r="B63" s="10" t="s">
        <v>38</v>
      </c>
      <c r="C63" s="10" t="s">
        <v>39</v>
      </c>
      <c r="D63" s="89">
        <v>0</v>
      </c>
      <c r="E63" s="89">
        <v>31</v>
      </c>
      <c r="F63" s="89" t="s">
        <v>47</v>
      </c>
      <c r="G63" s="89" t="s">
        <v>48</v>
      </c>
      <c r="H63" s="92">
        <v>45992</v>
      </c>
      <c r="I63" s="103"/>
      <c r="J63" s="94">
        <v>5425916.7800000003</v>
      </c>
      <c r="K63" s="94">
        <v>5425916.7800000003</v>
      </c>
      <c r="L63" s="89" t="s">
        <v>42</v>
      </c>
      <c r="M63" s="10" t="s">
        <v>43</v>
      </c>
      <c r="N63" s="11">
        <v>2012</v>
      </c>
      <c r="O63" s="12">
        <v>46056</v>
      </c>
      <c r="P63" s="10" t="s">
        <v>139</v>
      </c>
      <c r="Q63" s="10" t="s">
        <v>45</v>
      </c>
      <c r="R63" s="10" t="s">
        <v>46</v>
      </c>
      <c r="S63" s="94">
        <f t="shared" si="23"/>
        <v>5425916.7800000003</v>
      </c>
      <c r="T63" s="94"/>
      <c r="U63" s="94">
        <v>0</v>
      </c>
      <c r="V63" s="94">
        <v>0</v>
      </c>
      <c r="W63" s="94">
        <f>IF(A63="00-175",U63*0.003,U63*0.025)</f>
        <v>0</v>
      </c>
      <c r="X63" s="94">
        <f>IF(A63="00-175",U63*0.06,0)</f>
        <v>0</v>
      </c>
      <c r="Y63" s="94">
        <v>0</v>
      </c>
      <c r="Z63" s="94"/>
      <c r="AA63" s="94">
        <f>+S63+T63+U63+W63+X63</f>
        <v>5425916.7800000003</v>
      </c>
      <c r="AB63" s="10"/>
      <c r="AC63" s="94"/>
      <c r="AD63" s="10"/>
      <c r="AE63" s="94"/>
      <c r="AF63" s="10"/>
      <c r="AG63" s="94"/>
      <c r="AH63" s="94"/>
      <c r="AI63" s="94">
        <f t="shared" si="24"/>
        <v>0</v>
      </c>
      <c r="AJ63" s="94">
        <f t="shared" si="19"/>
        <v>5425916.7800000003</v>
      </c>
      <c r="AK63" s="90" t="str">
        <f t="shared" si="25"/>
        <v>Pendiente</v>
      </c>
    </row>
    <row r="64" spans="1:37" ht="15" hidden="1" customHeight="1" x14ac:dyDescent="0.35">
      <c r="A64" s="34" t="s">
        <v>79</v>
      </c>
      <c r="B64" s="14" t="s">
        <v>80</v>
      </c>
      <c r="C64" s="34" t="s">
        <v>81</v>
      </c>
      <c r="D64" s="89" t="s">
        <v>82</v>
      </c>
      <c r="E64" s="89">
        <v>8</v>
      </c>
      <c r="F64" s="89" t="s">
        <v>83</v>
      </c>
      <c r="G64" s="89" t="s">
        <v>41</v>
      </c>
      <c r="H64" s="92">
        <v>45992</v>
      </c>
      <c r="I64" s="103"/>
      <c r="J64" s="94">
        <v>17785558.379999999</v>
      </c>
      <c r="K64" s="94">
        <v>17785558.379999999</v>
      </c>
      <c r="L64" s="89" t="s">
        <v>42</v>
      </c>
      <c r="M64" s="34" t="s">
        <v>64</v>
      </c>
      <c r="N64" s="35">
        <v>2559</v>
      </c>
      <c r="O64" s="12">
        <v>46028</v>
      </c>
      <c r="P64" s="34" t="s">
        <v>140</v>
      </c>
      <c r="Q64" s="34" t="s">
        <v>45</v>
      </c>
      <c r="R64" s="34" t="s">
        <v>46</v>
      </c>
      <c r="S64" s="94">
        <f t="shared" si="23"/>
        <v>17785558.379999999</v>
      </c>
      <c r="T64" s="94"/>
      <c r="U64" s="94">
        <f t="shared" ref="U64:U77" si="26">+S64*21%</f>
        <v>3734967.2597999997</v>
      </c>
      <c r="V64" s="94">
        <f t="shared" ref="V64:V77" si="27">+S64*3%</f>
        <v>533566.75139999995</v>
      </c>
      <c r="W64" s="94">
        <f>+S64*2.5%</f>
        <v>444638.9595</v>
      </c>
      <c r="X64" s="94">
        <f t="shared" ref="X64:X77" si="28">IF(A64="00-175",S64*0.06,0)</f>
        <v>0</v>
      </c>
      <c r="Y64" s="94"/>
      <c r="Z64" s="94"/>
      <c r="AA64" s="94">
        <f t="shared" ref="AA64:AA77" si="29">+S64+T64+U64+W64+X64+V64+Y64</f>
        <v>22498731.350699998</v>
      </c>
      <c r="AB64" s="36">
        <v>46057</v>
      </c>
      <c r="AC64" s="94">
        <v>22498731.350000001</v>
      </c>
      <c r="AD64" s="98"/>
      <c r="AE64" s="94"/>
      <c r="AF64" s="34"/>
      <c r="AG64" s="94"/>
      <c r="AH64" s="94"/>
      <c r="AI64" s="94">
        <f t="shared" si="24"/>
        <v>22498731.350000001</v>
      </c>
      <c r="AJ64" s="94">
        <f t="shared" si="19"/>
        <v>6.999969482421875E-4</v>
      </c>
      <c r="AK64" s="90">
        <f t="shared" si="25"/>
        <v>29</v>
      </c>
    </row>
    <row r="65" spans="1:37" ht="15" hidden="1" customHeight="1" x14ac:dyDescent="0.35">
      <c r="A65" s="27" t="s">
        <v>85</v>
      </c>
      <c r="B65" s="14" t="s">
        <v>80</v>
      </c>
      <c r="C65" s="27" t="s">
        <v>86</v>
      </c>
      <c r="D65" s="89" t="s">
        <v>103</v>
      </c>
      <c r="E65" s="89">
        <v>4</v>
      </c>
      <c r="F65" s="89" t="s">
        <v>104</v>
      </c>
      <c r="G65" s="89" t="s">
        <v>41</v>
      </c>
      <c r="H65" s="92">
        <v>45992</v>
      </c>
      <c r="I65" s="103"/>
      <c r="J65" s="94">
        <v>176329878.80000001</v>
      </c>
      <c r="K65" s="94">
        <v>176329878.80000001</v>
      </c>
      <c r="L65" s="89" t="s">
        <v>42</v>
      </c>
      <c r="M65" s="27" t="s">
        <v>64</v>
      </c>
      <c r="N65" s="28">
        <v>2567</v>
      </c>
      <c r="O65" s="12">
        <v>46053</v>
      </c>
      <c r="P65" s="27" t="s">
        <v>141</v>
      </c>
      <c r="Q65" s="17" t="s">
        <v>45</v>
      </c>
      <c r="R65" s="17" t="s">
        <v>46</v>
      </c>
      <c r="S65" s="94">
        <f t="shared" si="23"/>
        <v>176329878.80000001</v>
      </c>
      <c r="T65" s="94"/>
      <c r="U65" s="94">
        <f t="shared" si="26"/>
        <v>37029274.548</v>
      </c>
      <c r="V65" s="94">
        <f t="shared" si="27"/>
        <v>5289896.3640000001</v>
      </c>
      <c r="W65" s="94">
        <f>+S65*2.5%</f>
        <v>4408246.9700000007</v>
      </c>
      <c r="X65" s="94">
        <f t="shared" si="28"/>
        <v>0</v>
      </c>
      <c r="Y65" s="94"/>
      <c r="Z65" s="94"/>
      <c r="AA65" s="94">
        <f t="shared" si="29"/>
        <v>223057296.68200001</v>
      </c>
      <c r="AB65" s="29">
        <v>46079</v>
      </c>
      <c r="AC65" s="94">
        <v>223057296.68000001</v>
      </c>
      <c r="AD65" s="98"/>
      <c r="AE65" s="94"/>
      <c r="AF65" s="27"/>
      <c r="AG65" s="94"/>
      <c r="AH65" s="94"/>
      <c r="AI65" s="94">
        <f t="shared" si="24"/>
        <v>223057296.68000001</v>
      </c>
      <c r="AJ65" s="94">
        <f t="shared" si="19"/>
        <v>2.0000040531158447E-3</v>
      </c>
      <c r="AK65" s="90">
        <f t="shared" si="25"/>
        <v>26</v>
      </c>
    </row>
    <row r="66" spans="1:37" ht="15" hidden="1" customHeight="1" x14ac:dyDescent="0.35">
      <c r="A66" s="27" t="s">
        <v>85</v>
      </c>
      <c r="B66" s="14" t="s">
        <v>80</v>
      </c>
      <c r="C66" s="27" t="s">
        <v>86</v>
      </c>
      <c r="D66" s="89" t="s">
        <v>120</v>
      </c>
      <c r="E66" s="89">
        <v>4</v>
      </c>
      <c r="F66" s="89" t="s">
        <v>121</v>
      </c>
      <c r="G66" s="89" t="s">
        <v>48</v>
      </c>
      <c r="H66" s="92">
        <v>45992</v>
      </c>
      <c r="I66" s="103"/>
      <c r="J66" s="94">
        <v>7099658.8399999999</v>
      </c>
      <c r="K66" s="94">
        <v>7099658.8399999999</v>
      </c>
      <c r="L66" s="89" t="s">
        <v>42</v>
      </c>
      <c r="M66" s="27" t="s">
        <v>64</v>
      </c>
      <c r="N66" s="28">
        <v>2568</v>
      </c>
      <c r="O66" s="12">
        <v>46053</v>
      </c>
      <c r="P66" s="27" t="s">
        <v>142</v>
      </c>
      <c r="Q66" s="17" t="s">
        <v>45</v>
      </c>
      <c r="R66" s="17" t="s">
        <v>46</v>
      </c>
      <c r="S66" s="94">
        <f t="shared" si="23"/>
        <v>7099658.8399999999</v>
      </c>
      <c r="T66" s="94"/>
      <c r="U66" s="94">
        <f t="shared" si="26"/>
        <v>1490928.3563999999</v>
      </c>
      <c r="V66" s="94">
        <f t="shared" si="27"/>
        <v>212989.76519999999</v>
      </c>
      <c r="W66" s="94">
        <f>+S66*2.5%</f>
        <v>177491.47100000002</v>
      </c>
      <c r="X66" s="94">
        <f t="shared" si="28"/>
        <v>0</v>
      </c>
      <c r="Y66" s="94"/>
      <c r="Z66" s="94"/>
      <c r="AA66" s="94">
        <f t="shared" si="29"/>
        <v>8981068.4326000009</v>
      </c>
      <c r="AB66" s="29">
        <v>46072</v>
      </c>
      <c r="AC66" s="94">
        <v>8981068.4399999995</v>
      </c>
      <c r="AD66" s="98"/>
      <c r="AE66" s="94"/>
      <c r="AF66" s="27"/>
      <c r="AG66" s="94"/>
      <c r="AH66" s="94"/>
      <c r="AI66" s="94">
        <f t="shared" si="24"/>
        <v>8981068.4399999995</v>
      </c>
      <c r="AJ66" s="94">
        <f t="shared" si="19"/>
        <v>-7.3999986052513123E-3</v>
      </c>
      <c r="AK66" s="90">
        <f t="shared" si="25"/>
        <v>19</v>
      </c>
    </row>
    <row r="67" spans="1:37" ht="15" hidden="1" customHeight="1" x14ac:dyDescent="0.35">
      <c r="A67" s="17" t="s">
        <v>66</v>
      </c>
      <c r="B67" s="17" t="s">
        <v>61</v>
      </c>
      <c r="C67" s="17" t="s">
        <v>67</v>
      </c>
      <c r="D67" s="89" t="s">
        <v>68</v>
      </c>
      <c r="E67" s="89">
        <v>8</v>
      </c>
      <c r="F67" s="89" t="s">
        <v>40</v>
      </c>
      <c r="G67" s="89" t="s">
        <v>41</v>
      </c>
      <c r="H67" s="92">
        <v>45992</v>
      </c>
      <c r="I67" s="103"/>
      <c r="J67" s="94">
        <v>95486782.189999998</v>
      </c>
      <c r="K67" s="94">
        <v>95486782.189999998</v>
      </c>
      <c r="L67" s="89" t="s">
        <v>42</v>
      </c>
      <c r="M67" s="17" t="s">
        <v>64</v>
      </c>
      <c r="N67" s="18">
        <v>2569</v>
      </c>
      <c r="O67" s="12">
        <v>46053</v>
      </c>
      <c r="P67" s="17" t="s">
        <v>143</v>
      </c>
      <c r="Q67" s="17" t="s">
        <v>45</v>
      </c>
      <c r="R67" s="17" t="s">
        <v>46</v>
      </c>
      <c r="S67" s="94">
        <f t="shared" si="23"/>
        <v>95486782.189999998</v>
      </c>
      <c r="T67" s="94"/>
      <c r="U67" s="94">
        <f t="shared" si="26"/>
        <v>20052224.2599</v>
      </c>
      <c r="V67" s="94">
        <f t="shared" si="27"/>
        <v>2864603.4656999996</v>
      </c>
      <c r="W67" s="94">
        <f>+S67*0.3%</f>
        <v>286460.34656999999</v>
      </c>
      <c r="X67" s="94">
        <f t="shared" si="28"/>
        <v>5729206.9313999992</v>
      </c>
      <c r="Y67" s="94"/>
      <c r="Z67" s="94"/>
      <c r="AA67" s="94">
        <f t="shared" si="29"/>
        <v>124419277.19357</v>
      </c>
      <c r="AB67" s="19">
        <v>46078</v>
      </c>
      <c r="AC67" s="94">
        <v>124419277.2</v>
      </c>
      <c r="AD67" s="98"/>
      <c r="AE67" s="94"/>
      <c r="AF67" s="17"/>
      <c r="AG67" s="94"/>
      <c r="AH67" s="94"/>
      <c r="AI67" s="94">
        <f t="shared" si="24"/>
        <v>124419277.2</v>
      </c>
      <c r="AJ67" s="94">
        <f t="shared" si="19"/>
        <v>-6.4300000667572021E-3</v>
      </c>
      <c r="AK67" s="90">
        <f t="shared" si="25"/>
        <v>25</v>
      </c>
    </row>
    <row r="68" spans="1:37" ht="15" hidden="1" customHeight="1" x14ac:dyDescent="0.35">
      <c r="A68" s="17" t="s">
        <v>66</v>
      </c>
      <c r="B68" s="17" t="s">
        <v>61</v>
      </c>
      <c r="C68" s="17" t="s">
        <v>67</v>
      </c>
      <c r="D68" s="89" t="s">
        <v>68</v>
      </c>
      <c r="E68" s="89">
        <v>8</v>
      </c>
      <c r="F68" s="89" t="s">
        <v>71</v>
      </c>
      <c r="G68" s="89" t="s">
        <v>48</v>
      </c>
      <c r="H68" s="92">
        <v>45992</v>
      </c>
      <c r="I68" s="103"/>
      <c r="J68" s="94">
        <v>22839845.190000001</v>
      </c>
      <c r="K68" s="94">
        <v>22839845.190000001</v>
      </c>
      <c r="L68" s="89" t="s">
        <v>42</v>
      </c>
      <c r="M68" s="17" t="s">
        <v>64</v>
      </c>
      <c r="N68" s="18">
        <v>2570</v>
      </c>
      <c r="O68" s="12">
        <v>46053</v>
      </c>
      <c r="P68" s="17" t="s">
        <v>144</v>
      </c>
      <c r="Q68" s="17" t="s">
        <v>45</v>
      </c>
      <c r="R68" s="17" t="s">
        <v>46</v>
      </c>
      <c r="S68" s="94">
        <f t="shared" si="23"/>
        <v>22839845.190000001</v>
      </c>
      <c r="T68" s="94"/>
      <c r="U68" s="94">
        <f t="shared" si="26"/>
        <v>4796367.4899000004</v>
      </c>
      <c r="V68" s="94">
        <f t="shared" si="27"/>
        <v>685195.35570000007</v>
      </c>
      <c r="W68" s="94">
        <f>+S68*0.3%</f>
        <v>68519.535570000007</v>
      </c>
      <c r="X68" s="94">
        <f t="shared" si="28"/>
        <v>1370390.7114000001</v>
      </c>
      <c r="Y68" s="94"/>
      <c r="Z68" s="94"/>
      <c r="AA68" s="94">
        <f t="shared" si="29"/>
        <v>29760318.282570001</v>
      </c>
      <c r="AB68" s="19">
        <v>46078</v>
      </c>
      <c r="AC68" s="94">
        <v>29760318.289999999</v>
      </c>
      <c r="AD68" s="98"/>
      <c r="AE68" s="94"/>
      <c r="AF68" s="17"/>
      <c r="AG68" s="94"/>
      <c r="AH68" s="94"/>
      <c r="AI68" s="94">
        <f t="shared" si="24"/>
        <v>29760318.289999999</v>
      </c>
      <c r="AJ68" s="94">
        <f t="shared" ref="AJ68:AJ95" si="30">+AA68-AI68</f>
        <v>-7.429998368024826E-3</v>
      </c>
      <c r="AK68" s="90">
        <f t="shared" si="25"/>
        <v>25</v>
      </c>
    </row>
    <row r="69" spans="1:37" ht="15" hidden="1" customHeight="1" x14ac:dyDescent="0.35">
      <c r="A69" s="32" t="s">
        <v>115</v>
      </c>
      <c r="B69" s="14" t="s">
        <v>80</v>
      </c>
      <c r="C69" s="32" t="s">
        <v>116</v>
      </c>
      <c r="D69" s="32" t="s">
        <v>116</v>
      </c>
      <c r="E69" s="89">
        <v>2</v>
      </c>
      <c r="F69" s="89" t="s">
        <v>40</v>
      </c>
      <c r="G69" s="89" t="s">
        <v>41</v>
      </c>
      <c r="H69" s="92">
        <v>45992</v>
      </c>
      <c r="I69" s="103"/>
      <c r="J69" s="94">
        <v>82180745.170000002</v>
      </c>
      <c r="K69" s="94">
        <v>82180745.170000002</v>
      </c>
      <c r="L69" s="89" t="s">
        <v>42</v>
      </c>
      <c r="M69" s="32" t="s">
        <v>64</v>
      </c>
      <c r="N69" s="33">
        <v>2571</v>
      </c>
      <c r="O69" s="12">
        <v>46053</v>
      </c>
      <c r="P69" s="32" t="s">
        <v>145</v>
      </c>
      <c r="Q69" s="17" t="s">
        <v>45</v>
      </c>
      <c r="R69" s="17" t="s">
        <v>46</v>
      </c>
      <c r="S69" s="94">
        <f t="shared" si="23"/>
        <v>82180745.170000002</v>
      </c>
      <c r="T69" s="94"/>
      <c r="U69" s="94">
        <f t="shared" si="26"/>
        <v>17257956.4857</v>
      </c>
      <c r="V69" s="94">
        <f t="shared" si="27"/>
        <v>2465422.3550999998</v>
      </c>
      <c r="W69" s="94">
        <f t="shared" ref="W69:W77" si="31">+S69*2.5%</f>
        <v>2054518.6292500002</v>
      </c>
      <c r="X69" s="94">
        <f t="shared" si="28"/>
        <v>0</v>
      </c>
      <c r="Y69" s="94"/>
      <c r="Z69" s="94"/>
      <c r="AA69" s="94">
        <f t="shared" si="29"/>
        <v>103958642.64005001</v>
      </c>
      <c r="AB69" s="30">
        <v>46053</v>
      </c>
      <c r="AC69" s="94">
        <v>103958642.65000001</v>
      </c>
      <c r="AD69" s="98"/>
      <c r="AE69" s="94"/>
      <c r="AF69" s="32"/>
      <c r="AG69" s="94"/>
      <c r="AH69" s="94"/>
      <c r="AI69" s="94">
        <f t="shared" si="24"/>
        <v>103958642.65000001</v>
      </c>
      <c r="AJ69" s="94">
        <f t="shared" si="30"/>
        <v>-9.9499970674514771E-3</v>
      </c>
      <c r="AK69" s="90">
        <f t="shared" si="25"/>
        <v>0</v>
      </c>
    </row>
    <row r="70" spans="1:37" ht="15" hidden="1" customHeight="1" x14ac:dyDescent="0.35">
      <c r="A70" s="32" t="s">
        <v>115</v>
      </c>
      <c r="B70" s="14" t="s">
        <v>80</v>
      </c>
      <c r="C70" s="32" t="s">
        <v>116</v>
      </c>
      <c r="D70" s="32" t="s">
        <v>116</v>
      </c>
      <c r="E70" s="89">
        <v>2</v>
      </c>
      <c r="F70" s="89" t="s">
        <v>71</v>
      </c>
      <c r="G70" s="89" t="s">
        <v>48</v>
      </c>
      <c r="H70" s="92">
        <v>45992</v>
      </c>
      <c r="I70" s="103"/>
      <c r="J70" s="94">
        <v>9561948.6500000004</v>
      </c>
      <c r="K70" s="94">
        <v>9561948.6500000004</v>
      </c>
      <c r="L70" s="89" t="s">
        <v>42</v>
      </c>
      <c r="M70" s="32" t="s">
        <v>64</v>
      </c>
      <c r="N70" s="33">
        <v>2572</v>
      </c>
      <c r="O70" s="12">
        <v>46053</v>
      </c>
      <c r="P70" s="32" t="s">
        <v>146</v>
      </c>
      <c r="Q70" s="17" t="s">
        <v>45</v>
      </c>
      <c r="R70" s="17" t="s">
        <v>46</v>
      </c>
      <c r="S70" s="94">
        <f t="shared" si="23"/>
        <v>9561948.6500000004</v>
      </c>
      <c r="T70" s="94"/>
      <c r="U70" s="94">
        <f t="shared" si="26"/>
        <v>2008009.2165000001</v>
      </c>
      <c r="V70" s="94">
        <f t="shared" si="27"/>
        <v>286858.4595</v>
      </c>
      <c r="W70" s="94">
        <f t="shared" si="31"/>
        <v>239048.71625000003</v>
      </c>
      <c r="X70" s="94">
        <f t="shared" si="28"/>
        <v>0</v>
      </c>
      <c r="Y70" s="94"/>
      <c r="Z70" s="94"/>
      <c r="AA70" s="94">
        <f t="shared" si="29"/>
        <v>12095865.042250002</v>
      </c>
      <c r="AB70" s="30">
        <v>46053</v>
      </c>
      <c r="AC70" s="94">
        <v>12095865.050000001</v>
      </c>
      <c r="AD70" s="98"/>
      <c r="AE70" s="94"/>
      <c r="AF70" s="32"/>
      <c r="AG70" s="94"/>
      <c r="AH70" s="94"/>
      <c r="AI70" s="94">
        <f t="shared" si="24"/>
        <v>12095865.050000001</v>
      </c>
      <c r="AJ70" s="94">
        <f t="shared" si="30"/>
        <v>-7.7499989420175552E-3</v>
      </c>
      <c r="AK70" s="90">
        <f t="shared" si="25"/>
        <v>0</v>
      </c>
    </row>
    <row r="71" spans="1:37" ht="15" hidden="1" customHeight="1" x14ac:dyDescent="0.35">
      <c r="A71" s="34" t="s">
        <v>79</v>
      </c>
      <c r="B71" s="14" t="s">
        <v>80</v>
      </c>
      <c r="C71" s="34" t="s">
        <v>81</v>
      </c>
      <c r="D71" s="89" t="s">
        <v>107</v>
      </c>
      <c r="E71" s="89">
        <v>3</v>
      </c>
      <c r="F71" s="89" t="s">
        <v>108</v>
      </c>
      <c r="G71" s="89" t="s">
        <v>41</v>
      </c>
      <c r="H71" s="92">
        <v>45992</v>
      </c>
      <c r="I71" s="103">
        <v>20632040.68</v>
      </c>
      <c r="J71" s="94">
        <v>54243093.789999999</v>
      </c>
      <c r="K71" s="94">
        <v>54243093.789999999</v>
      </c>
      <c r="L71" s="89" t="s">
        <v>42</v>
      </c>
      <c r="M71" s="34" t="s">
        <v>64</v>
      </c>
      <c r="N71" s="35">
        <v>2573</v>
      </c>
      <c r="O71" s="12">
        <v>46053</v>
      </c>
      <c r="P71" s="34" t="s">
        <v>147</v>
      </c>
      <c r="Q71" s="34" t="s">
        <v>45</v>
      </c>
      <c r="R71" s="34" t="s">
        <v>46</v>
      </c>
      <c r="S71" s="94">
        <f t="shared" si="23"/>
        <v>54243093.789999999</v>
      </c>
      <c r="T71" s="94"/>
      <c r="U71" s="94">
        <f t="shared" si="26"/>
        <v>11391049.695899999</v>
      </c>
      <c r="V71" s="94">
        <f t="shared" si="27"/>
        <v>1627292.8136999998</v>
      </c>
      <c r="W71" s="94">
        <f t="shared" si="31"/>
        <v>1356077.3447500002</v>
      </c>
      <c r="X71" s="94">
        <f t="shared" si="28"/>
        <v>0</v>
      </c>
      <c r="Y71" s="94"/>
      <c r="Z71" s="94"/>
      <c r="AA71" s="94">
        <f t="shared" si="29"/>
        <v>68617513.644350007</v>
      </c>
      <c r="AB71" s="36">
        <v>46079</v>
      </c>
      <c r="AC71" s="94">
        <v>68617513.640000001</v>
      </c>
      <c r="AD71" s="98"/>
      <c r="AE71" s="94"/>
      <c r="AF71" s="34"/>
      <c r="AG71" s="94"/>
      <c r="AH71" s="94"/>
      <c r="AI71" s="94">
        <f t="shared" si="24"/>
        <v>68617513.640000001</v>
      </c>
      <c r="AJ71" s="94">
        <f t="shared" si="30"/>
        <v>4.3500065803527832E-3</v>
      </c>
      <c r="AK71" s="90">
        <f t="shared" si="25"/>
        <v>26</v>
      </c>
    </row>
    <row r="72" spans="1:37" ht="15" hidden="1" customHeight="1" x14ac:dyDescent="0.35">
      <c r="A72" s="34" t="s">
        <v>79</v>
      </c>
      <c r="B72" s="14" t="s">
        <v>80</v>
      </c>
      <c r="C72" s="34" t="s">
        <v>81</v>
      </c>
      <c r="D72" s="89" t="s">
        <v>110</v>
      </c>
      <c r="E72" s="89">
        <v>3</v>
      </c>
      <c r="F72" s="89" t="s">
        <v>111</v>
      </c>
      <c r="G72" s="89" t="s">
        <v>48</v>
      </c>
      <c r="H72" s="92">
        <v>45992</v>
      </c>
      <c r="I72" s="103"/>
      <c r="J72" s="94">
        <v>9778629.6300000008</v>
      </c>
      <c r="K72" s="94">
        <v>9778629.6300000008</v>
      </c>
      <c r="L72" s="89" t="s">
        <v>42</v>
      </c>
      <c r="M72" s="34" t="s">
        <v>64</v>
      </c>
      <c r="N72" s="35">
        <v>2574</v>
      </c>
      <c r="O72" s="12">
        <v>46053</v>
      </c>
      <c r="P72" s="34" t="s">
        <v>148</v>
      </c>
      <c r="Q72" s="34" t="s">
        <v>45</v>
      </c>
      <c r="R72" s="34" t="s">
        <v>46</v>
      </c>
      <c r="S72" s="94">
        <f t="shared" si="23"/>
        <v>9778629.6300000008</v>
      </c>
      <c r="T72" s="94"/>
      <c r="U72" s="94">
        <f t="shared" si="26"/>
        <v>2053512.2223</v>
      </c>
      <c r="V72" s="94">
        <f t="shared" si="27"/>
        <v>293358.88890000002</v>
      </c>
      <c r="W72" s="94">
        <f t="shared" si="31"/>
        <v>244465.74075000003</v>
      </c>
      <c r="X72" s="94">
        <f t="shared" si="28"/>
        <v>0</v>
      </c>
      <c r="Y72" s="94"/>
      <c r="Z72" s="94"/>
      <c r="AA72" s="94">
        <f t="shared" si="29"/>
        <v>12369966.481950002</v>
      </c>
      <c r="AB72" s="36">
        <v>46079</v>
      </c>
      <c r="AC72" s="94">
        <v>12369966.48</v>
      </c>
      <c r="AD72" s="98"/>
      <c r="AE72" s="94"/>
      <c r="AF72" s="34"/>
      <c r="AG72" s="94"/>
      <c r="AH72" s="94"/>
      <c r="AI72" s="94">
        <f t="shared" si="24"/>
        <v>12369966.48</v>
      </c>
      <c r="AJ72" s="94">
        <f t="shared" si="30"/>
        <v>1.9500013440847397E-3</v>
      </c>
      <c r="AK72" s="90">
        <f t="shared" si="25"/>
        <v>26</v>
      </c>
    </row>
    <row r="73" spans="1:37" ht="15" hidden="1" customHeight="1" x14ac:dyDescent="0.35">
      <c r="A73" s="34" t="s">
        <v>79</v>
      </c>
      <c r="B73" s="14" t="s">
        <v>80</v>
      </c>
      <c r="C73" s="34" t="s">
        <v>81</v>
      </c>
      <c r="D73" s="89" t="s">
        <v>149</v>
      </c>
      <c r="E73" s="89">
        <v>1</v>
      </c>
      <c r="F73" s="89" t="s">
        <v>150</v>
      </c>
      <c r="G73" s="89" t="s">
        <v>41</v>
      </c>
      <c r="H73" s="92">
        <v>45992</v>
      </c>
      <c r="I73" s="103"/>
      <c r="J73" s="94">
        <v>41160565</v>
      </c>
      <c r="K73" s="94">
        <v>41160565</v>
      </c>
      <c r="L73" s="89" t="s">
        <v>42</v>
      </c>
      <c r="M73" s="34" t="s">
        <v>64</v>
      </c>
      <c r="N73" s="35">
        <v>2575</v>
      </c>
      <c r="O73" s="12">
        <v>46053</v>
      </c>
      <c r="P73" s="34" t="s">
        <v>151</v>
      </c>
      <c r="Q73" s="34" t="s">
        <v>45</v>
      </c>
      <c r="R73" s="34" t="s">
        <v>46</v>
      </c>
      <c r="S73" s="94">
        <f t="shared" si="23"/>
        <v>41160565</v>
      </c>
      <c r="T73" s="94"/>
      <c r="U73" s="94">
        <f t="shared" si="26"/>
        <v>8643718.6500000004</v>
      </c>
      <c r="V73" s="94">
        <f t="shared" si="27"/>
        <v>1234816.95</v>
      </c>
      <c r="W73" s="94">
        <f t="shared" si="31"/>
        <v>1029014.125</v>
      </c>
      <c r="X73" s="94">
        <f t="shared" si="28"/>
        <v>0</v>
      </c>
      <c r="Y73" s="94"/>
      <c r="Z73" s="94"/>
      <c r="AA73" s="94">
        <f t="shared" si="29"/>
        <v>52068114.725000001</v>
      </c>
      <c r="AB73" s="36">
        <v>46079</v>
      </c>
      <c r="AC73" s="94">
        <v>52068114.729999997</v>
      </c>
      <c r="AD73" s="98"/>
      <c r="AE73" s="94"/>
      <c r="AF73" s="34"/>
      <c r="AG73" s="94"/>
      <c r="AH73" s="94"/>
      <c r="AI73" s="94">
        <f t="shared" si="24"/>
        <v>52068114.729999997</v>
      </c>
      <c r="AJ73" s="94">
        <f t="shared" si="30"/>
        <v>-4.999995231628418E-3</v>
      </c>
      <c r="AK73" s="90">
        <f t="shared" si="25"/>
        <v>26</v>
      </c>
    </row>
    <row r="74" spans="1:37" ht="15" hidden="1" customHeight="1" x14ac:dyDescent="0.35">
      <c r="A74" s="34" t="s">
        <v>79</v>
      </c>
      <c r="B74" s="14" t="s">
        <v>80</v>
      </c>
      <c r="C74" s="34" t="s">
        <v>81</v>
      </c>
      <c r="D74" s="89" t="s">
        <v>149</v>
      </c>
      <c r="E74" s="89">
        <v>1</v>
      </c>
      <c r="F74" s="89" t="s">
        <v>152</v>
      </c>
      <c r="G74" s="89" t="s">
        <v>48</v>
      </c>
      <c r="H74" s="92">
        <v>45992</v>
      </c>
      <c r="I74" s="103"/>
      <c r="J74" s="94">
        <v>820140.02</v>
      </c>
      <c r="K74" s="94">
        <v>820140.02</v>
      </c>
      <c r="L74" s="89" t="s">
        <v>42</v>
      </c>
      <c r="M74" s="34" t="s">
        <v>64</v>
      </c>
      <c r="N74" s="35">
        <v>2576</v>
      </c>
      <c r="O74" s="12">
        <v>46053</v>
      </c>
      <c r="P74" s="34" t="s">
        <v>153</v>
      </c>
      <c r="Q74" s="34" t="s">
        <v>45</v>
      </c>
      <c r="R74" s="34" t="s">
        <v>46</v>
      </c>
      <c r="S74" s="94">
        <f t="shared" si="23"/>
        <v>820140.02</v>
      </c>
      <c r="T74" s="94"/>
      <c r="U74" s="94">
        <f t="shared" si="26"/>
        <v>172229.40419999999</v>
      </c>
      <c r="V74" s="94">
        <f t="shared" si="27"/>
        <v>24604.2006</v>
      </c>
      <c r="W74" s="94">
        <f t="shared" si="31"/>
        <v>20503.500500000002</v>
      </c>
      <c r="X74" s="94">
        <f t="shared" si="28"/>
        <v>0</v>
      </c>
      <c r="Y74" s="94"/>
      <c r="Z74" s="94"/>
      <c r="AA74" s="94">
        <f t="shared" si="29"/>
        <v>1037477.1253</v>
      </c>
      <c r="AB74" s="36">
        <v>46079</v>
      </c>
      <c r="AC74" s="94">
        <v>1037477.12</v>
      </c>
      <c r="AD74" s="98"/>
      <c r="AE74" s="94"/>
      <c r="AF74" s="34"/>
      <c r="AG74" s="94"/>
      <c r="AH74" s="94"/>
      <c r="AI74" s="94">
        <f t="shared" si="24"/>
        <v>1037477.12</v>
      </c>
      <c r="AJ74" s="94">
        <f t="shared" si="30"/>
        <v>5.2999999606981874E-3</v>
      </c>
      <c r="AK74" s="90">
        <f t="shared" si="25"/>
        <v>26</v>
      </c>
    </row>
    <row r="75" spans="1:37" ht="15" hidden="1" customHeight="1" x14ac:dyDescent="0.35">
      <c r="A75" s="34" t="s">
        <v>79</v>
      </c>
      <c r="B75" s="14" t="s">
        <v>80</v>
      </c>
      <c r="C75" s="34" t="s">
        <v>81</v>
      </c>
      <c r="D75" s="89" t="s">
        <v>154</v>
      </c>
      <c r="E75" s="89">
        <v>1</v>
      </c>
      <c r="F75" s="89" t="s">
        <v>155</v>
      </c>
      <c r="G75" s="89" t="s">
        <v>41</v>
      </c>
      <c r="H75" s="92">
        <v>45992</v>
      </c>
      <c r="I75" s="103">
        <v>19986646.91</v>
      </c>
      <c r="J75" s="94">
        <v>46635509.460000001</v>
      </c>
      <c r="K75" s="94">
        <v>46635509.460000001</v>
      </c>
      <c r="L75" s="89" t="s">
        <v>42</v>
      </c>
      <c r="M75" s="34" t="s">
        <v>64</v>
      </c>
      <c r="N75" s="35">
        <v>2577</v>
      </c>
      <c r="O75" s="12">
        <v>46053</v>
      </c>
      <c r="P75" s="34" t="s">
        <v>156</v>
      </c>
      <c r="Q75" s="34" t="s">
        <v>45</v>
      </c>
      <c r="R75" s="34" t="s">
        <v>46</v>
      </c>
      <c r="S75" s="94">
        <f t="shared" si="23"/>
        <v>46635509.460000001</v>
      </c>
      <c r="T75" s="94"/>
      <c r="U75" s="94">
        <f t="shared" si="26"/>
        <v>9793456.9866000004</v>
      </c>
      <c r="V75" s="94">
        <f t="shared" si="27"/>
        <v>1399065.2837999999</v>
      </c>
      <c r="W75" s="94">
        <f t="shared" si="31"/>
        <v>1165887.7365000001</v>
      </c>
      <c r="X75" s="94">
        <f t="shared" si="28"/>
        <v>0</v>
      </c>
      <c r="Y75" s="94"/>
      <c r="Z75" s="94"/>
      <c r="AA75" s="94">
        <f t="shared" si="29"/>
        <v>58993919.466900006</v>
      </c>
      <c r="AB75" s="36">
        <v>46079</v>
      </c>
      <c r="AC75" s="94">
        <v>58993919.469999999</v>
      </c>
      <c r="AD75" s="98"/>
      <c r="AE75" s="94"/>
      <c r="AF75" s="34"/>
      <c r="AG75" s="94"/>
      <c r="AH75" s="94"/>
      <c r="AI75" s="94">
        <f t="shared" si="24"/>
        <v>58993919.469999999</v>
      </c>
      <c r="AJ75" s="94">
        <f t="shared" si="30"/>
        <v>-3.0999928712844849E-3</v>
      </c>
      <c r="AK75" s="90">
        <f t="shared" si="25"/>
        <v>26</v>
      </c>
    </row>
    <row r="76" spans="1:37" ht="15" hidden="1" customHeight="1" x14ac:dyDescent="0.35">
      <c r="A76" s="34" t="s">
        <v>79</v>
      </c>
      <c r="B76" s="14" t="s">
        <v>80</v>
      </c>
      <c r="C76" s="34" t="s">
        <v>81</v>
      </c>
      <c r="D76" s="89" t="s">
        <v>154</v>
      </c>
      <c r="E76" s="89">
        <v>1</v>
      </c>
      <c r="F76" s="89" t="s">
        <v>157</v>
      </c>
      <c r="G76" s="89" t="s">
        <v>48</v>
      </c>
      <c r="H76" s="92">
        <v>45992</v>
      </c>
      <c r="I76" s="103"/>
      <c r="J76" s="94">
        <v>5222371.43</v>
      </c>
      <c r="K76" s="94">
        <v>5222371.43</v>
      </c>
      <c r="L76" s="89" t="s">
        <v>42</v>
      </c>
      <c r="M76" s="34" t="s">
        <v>64</v>
      </c>
      <c r="N76" s="35">
        <v>2578</v>
      </c>
      <c r="O76" s="12">
        <v>46053</v>
      </c>
      <c r="P76" s="34" t="s">
        <v>158</v>
      </c>
      <c r="Q76" s="34" t="s">
        <v>45</v>
      </c>
      <c r="R76" s="34" t="s">
        <v>46</v>
      </c>
      <c r="S76" s="94">
        <f t="shared" si="23"/>
        <v>5222371.43</v>
      </c>
      <c r="T76" s="94"/>
      <c r="U76" s="94">
        <f t="shared" si="26"/>
        <v>1096698.0003</v>
      </c>
      <c r="V76" s="94">
        <f t="shared" si="27"/>
        <v>156671.14289999998</v>
      </c>
      <c r="W76" s="94">
        <f t="shared" si="31"/>
        <v>130559.28575</v>
      </c>
      <c r="X76" s="94">
        <f t="shared" si="28"/>
        <v>0</v>
      </c>
      <c r="Y76" s="94"/>
      <c r="Z76" s="94"/>
      <c r="AA76" s="94">
        <f t="shared" si="29"/>
        <v>6606299.8589499993</v>
      </c>
      <c r="AB76" s="36">
        <v>46079</v>
      </c>
      <c r="AC76" s="94">
        <v>6606299.8600000003</v>
      </c>
      <c r="AD76" s="98"/>
      <c r="AE76" s="94"/>
      <c r="AF76" s="34"/>
      <c r="AG76" s="94"/>
      <c r="AH76" s="94"/>
      <c r="AI76" s="94">
        <f t="shared" si="24"/>
        <v>6606299.8600000003</v>
      </c>
      <c r="AJ76" s="94">
        <f t="shared" si="30"/>
        <v>-1.0500010102987289E-3</v>
      </c>
      <c r="AK76" s="90">
        <f t="shared" si="25"/>
        <v>26</v>
      </c>
    </row>
    <row r="77" spans="1:37" ht="15" hidden="1" customHeight="1" x14ac:dyDescent="0.35">
      <c r="A77" s="24" t="s">
        <v>79</v>
      </c>
      <c r="B77" s="14" t="s">
        <v>80</v>
      </c>
      <c r="C77" s="24" t="s">
        <v>81</v>
      </c>
      <c r="D77" s="89" t="s">
        <v>159</v>
      </c>
      <c r="E77" s="89">
        <v>1</v>
      </c>
      <c r="F77" s="89" t="s">
        <v>160</v>
      </c>
      <c r="G77" s="89" t="s">
        <v>41</v>
      </c>
      <c r="H77" s="92">
        <v>45992</v>
      </c>
      <c r="I77" s="103">
        <v>9519606.0999999996</v>
      </c>
      <c r="J77" s="94">
        <v>14582450.939999999</v>
      </c>
      <c r="K77" s="94">
        <v>14582450.939999999</v>
      </c>
      <c r="L77" s="89" t="s">
        <v>42</v>
      </c>
      <c r="M77" s="24" t="s">
        <v>64</v>
      </c>
      <c r="N77" s="25">
        <v>2581</v>
      </c>
      <c r="O77" s="12">
        <v>46064</v>
      </c>
      <c r="P77" s="24" t="s">
        <v>161</v>
      </c>
      <c r="Q77" s="24" t="s">
        <v>45</v>
      </c>
      <c r="R77" s="24" t="s">
        <v>46</v>
      </c>
      <c r="S77" s="94">
        <f t="shared" si="23"/>
        <v>14582450.939999999</v>
      </c>
      <c r="T77" s="94"/>
      <c r="U77" s="94">
        <f t="shared" si="26"/>
        <v>3062314.6973999999</v>
      </c>
      <c r="V77" s="94">
        <f t="shared" si="27"/>
        <v>437473.52819999994</v>
      </c>
      <c r="W77" s="94">
        <f t="shared" si="31"/>
        <v>364561.27350000001</v>
      </c>
      <c r="X77" s="94">
        <f t="shared" si="28"/>
        <v>0</v>
      </c>
      <c r="Y77" s="94"/>
      <c r="Z77" s="94"/>
      <c r="AA77" s="94">
        <f t="shared" si="29"/>
        <v>18446800.439100001</v>
      </c>
      <c r="AB77" s="26">
        <v>46079</v>
      </c>
      <c r="AC77" s="94">
        <v>11214642.810000001</v>
      </c>
      <c r="AD77" s="26">
        <v>46093</v>
      </c>
      <c r="AE77" s="94">
        <v>7232157.6299999999</v>
      </c>
      <c r="AF77" s="24"/>
      <c r="AG77" s="94"/>
      <c r="AH77" s="94"/>
      <c r="AI77" s="94">
        <f t="shared" si="24"/>
        <v>18446800.440000001</v>
      </c>
      <c r="AJ77" s="94">
        <f t="shared" si="30"/>
        <v>-9.0000033378601074E-4</v>
      </c>
      <c r="AK77" s="90">
        <f t="shared" si="25"/>
        <v>29</v>
      </c>
    </row>
    <row r="78" spans="1:37" ht="15" hidden="1" customHeight="1" x14ac:dyDescent="0.35">
      <c r="A78" s="10" t="s">
        <v>130</v>
      </c>
      <c r="B78" s="14" t="s">
        <v>131</v>
      </c>
      <c r="C78" s="10" t="s">
        <v>132</v>
      </c>
      <c r="D78" s="89" t="s">
        <v>133</v>
      </c>
      <c r="E78" s="89">
        <v>1</v>
      </c>
      <c r="F78" s="89" t="s">
        <v>162</v>
      </c>
      <c r="G78" s="89" t="s">
        <v>41</v>
      </c>
      <c r="H78" s="92">
        <v>45992</v>
      </c>
      <c r="I78" s="94">
        <v>2287315809.0900002</v>
      </c>
      <c r="J78" s="94">
        <v>2287315809.0900002</v>
      </c>
      <c r="K78" s="94">
        <v>0</v>
      </c>
      <c r="L78" s="89" t="s">
        <v>42</v>
      </c>
      <c r="M78" s="10" t="s">
        <v>64</v>
      </c>
      <c r="N78" s="33">
        <v>2614</v>
      </c>
      <c r="O78" s="12">
        <v>46162</v>
      </c>
      <c r="P78" s="10" t="s">
        <v>163</v>
      </c>
      <c r="Q78" s="10" t="s">
        <v>45</v>
      </c>
      <c r="R78" s="10" t="s">
        <v>46</v>
      </c>
      <c r="S78" s="94">
        <v>2287315809.0900002</v>
      </c>
      <c r="T78" s="94">
        <v>240168159.94999999</v>
      </c>
      <c r="U78" s="94">
        <v>0</v>
      </c>
      <c r="V78" s="94">
        <v>0</v>
      </c>
      <c r="W78" s="94">
        <v>68619474.269999996</v>
      </c>
      <c r="X78" s="94">
        <v>80056053.319999993</v>
      </c>
      <c r="Y78" s="94">
        <v>0</v>
      </c>
      <c r="Z78" s="94">
        <v>34309737.140000001</v>
      </c>
      <c r="AA78" s="94">
        <v>2710469233.77</v>
      </c>
      <c r="AB78" s="16">
        <v>46007</v>
      </c>
      <c r="AC78" s="94">
        <v>0</v>
      </c>
      <c r="AD78" s="10"/>
      <c r="AE78" s="94"/>
      <c r="AF78" s="10"/>
      <c r="AG78" s="94"/>
      <c r="AH78" s="94"/>
      <c r="AI78" s="94">
        <v>0</v>
      </c>
      <c r="AJ78" s="94">
        <v>0</v>
      </c>
      <c r="AK78" s="90" t="s">
        <v>46</v>
      </c>
    </row>
    <row r="79" spans="1:37" ht="15" hidden="1" customHeight="1" x14ac:dyDescent="0.35">
      <c r="A79" s="27" t="s">
        <v>130</v>
      </c>
      <c r="B79" s="27" t="s">
        <v>131</v>
      </c>
      <c r="C79" s="10" t="s">
        <v>132</v>
      </c>
      <c r="D79" s="89" t="s">
        <v>133</v>
      </c>
      <c r="E79" s="89">
        <v>1</v>
      </c>
      <c r="F79" s="89" t="s">
        <v>164</v>
      </c>
      <c r="G79" s="89" t="s">
        <v>48</v>
      </c>
      <c r="H79" s="92">
        <v>45992</v>
      </c>
      <c r="I79" s="94">
        <v>41089359.939999998</v>
      </c>
      <c r="J79" s="94">
        <v>41089359.939999998</v>
      </c>
      <c r="K79" s="94">
        <v>0</v>
      </c>
      <c r="L79" s="89" t="s">
        <v>42</v>
      </c>
      <c r="M79" s="27" t="s">
        <v>64</v>
      </c>
      <c r="N79" s="33">
        <v>2615</v>
      </c>
      <c r="O79" s="12">
        <v>46162</v>
      </c>
      <c r="P79" s="27" t="s">
        <v>165</v>
      </c>
      <c r="Q79" s="17" t="s">
        <v>45</v>
      </c>
      <c r="R79" s="17" t="s">
        <v>46</v>
      </c>
      <c r="S79" s="94">
        <v>41089359.939999998</v>
      </c>
      <c r="T79" s="94">
        <v>4314382.79</v>
      </c>
      <c r="U79" s="94">
        <v>0</v>
      </c>
      <c r="V79" s="94">
        <v>0</v>
      </c>
      <c r="W79" s="94">
        <v>1232680.8</v>
      </c>
      <c r="X79" s="94">
        <v>1438127.6</v>
      </c>
      <c r="Y79" s="94">
        <v>0</v>
      </c>
      <c r="Z79" s="94">
        <v>616340.4</v>
      </c>
      <c r="AA79" s="94">
        <v>48690891.530000001</v>
      </c>
      <c r="AB79" s="16">
        <v>46007</v>
      </c>
      <c r="AC79" s="94">
        <v>0</v>
      </c>
      <c r="AD79" s="98"/>
      <c r="AE79" s="94"/>
      <c r="AF79" s="27"/>
      <c r="AG79" s="94"/>
      <c r="AH79" s="94"/>
      <c r="AI79" s="94">
        <v>0</v>
      </c>
      <c r="AJ79" s="94">
        <v>0</v>
      </c>
      <c r="AK79" s="90" t="s">
        <v>46</v>
      </c>
    </row>
    <row r="80" spans="1:37" ht="15" hidden="1" customHeight="1" x14ac:dyDescent="0.35">
      <c r="A80" s="27" t="s">
        <v>130</v>
      </c>
      <c r="B80" s="27" t="s">
        <v>131</v>
      </c>
      <c r="C80" s="10" t="s">
        <v>132</v>
      </c>
      <c r="D80" s="89" t="s">
        <v>133</v>
      </c>
      <c r="E80" s="89" t="s">
        <v>46</v>
      </c>
      <c r="F80" s="89" t="s">
        <v>166</v>
      </c>
      <c r="G80" s="89" t="s">
        <v>135</v>
      </c>
      <c r="H80" s="92">
        <v>46023</v>
      </c>
      <c r="I80" s="103"/>
      <c r="J80" s="94">
        <v>-1544727626.4200001</v>
      </c>
      <c r="K80" s="94">
        <v>-1544727626.4200001</v>
      </c>
      <c r="L80" s="89" t="s">
        <v>42</v>
      </c>
      <c r="M80" s="27" t="s">
        <v>136</v>
      </c>
      <c r="N80" s="33">
        <v>367</v>
      </c>
      <c r="O80" s="12">
        <v>46162</v>
      </c>
      <c r="P80" s="27" t="s">
        <v>167</v>
      </c>
      <c r="Q80" s="17" t="s">
        <v>45</v>
      </c>
      <c r="R80" s="17" t="s">
        <v>46</v>
      </c>
      <c r="S80" s="94">
        <v>-1544727626.4200001</v>
      </c>
      <c r="T80" s="94">
        <v>-162196400.77000001</v>
      </c>
      <c r="U80" s="94">
        <v>0</v>
      </c>
      <c r="V80" s="94">
        <v>0</v>
      </c>
      <c r="W80" s="94">
        <v>-46341828.789999999</v>
      </c>
      <c r="X80" s="94">
        <v>-54065466.920000002</v>
      </c>
      <c r="Y80" s="94">
        <v>0</v>
      </c>
      <c r="Z80" s="94">
        <v>-23170914.399999999</v>
      </c>
      <c r="AA80" s="94">
        <v>-1830502237.3</v>
      </c>
      <c r="AB80" s="29"/>
      <c r="AC80" s="94"/>
      <c r="AD80" s="98"/>
      <c r="AE80" s="94"/>
      <c r="AF80" s="27"/>
      <c r="AG80" s="94"/>
      <c r="AH80" s="94"/>
      <c r="AI80" s="94">
        <v>0</v>
      </c>
      <c r="AJ80" s="94">
        <v>0</v>
      </c>
      <c r="AK80" s="90" t="s">
        <v>46</v>
      </c>
    </row>
    <row r="81" spans="1:37" ht="15" customHeight="1" x14ac:dyDescent="0.35">
      <c r="A81" s="10" t="s">
        <v>37</v>
      </c>
      <c r="B81" s="10" t="s">
        <v>38</v>
      </c>
      <c r="C81" s="10" t="s">
        <v>39</v>
      </c>
      <c r="D81" s="89">
        <v>0</v>
      </c>
      <c r="E81" s="89">
        <v>32</v>
      </c>
      <c r="F81" s="89" t="s">
        <v>40</v>
      </c>
      <c r="G81" s="89" t="s">
        <v>41</v>
      </c>
      <c r="H81" s="92">
        <v>46023</v>
      </c>
      <c r="I81" s="103">
        <v>11963055.32</v>
      </c>
      <c r="J81" s="94">
        <v>131593300.43000001</v>
      </c>
      <c r="K81" s="94">
        <v>131593300.43000001</v>
      </c>
      <c r="L81" s="89" t="s">
        <v>42</v>
      </c>
      <c r="M81" s="10" t="s">
        <v>43</v>
      </c>
      <c r="N81" s="11">
        <v>2024</v>
      </c>
      <c r="O81" s="12">
        <v>46142</v>
      </c>
      <c r="P81" s="10" t="s">
        <v>168</v>
      </c>
      <c r="Q81" s="10" t="s">
        <v>45</v>
      </c>
      <c r="R81" s="10" t="s">
        <v>46</v>
      </c>
      <c r="S81" s="94">
        <f t="shared" ref="S81:S95" si="32">+J81</f>
        <v>131593300.43000001</v>
      </c>
      <c r="T81" s="94"/>
      <c r="U81" s="94"/>
      <c r="V81" s="94"/>
      <c r="W81" s="94"/>
      <c r="X81" s="94"/>
      <c r="Y81" s="94"/>
      <c r="Z81" s="94"/>
      <c r="AA81" s="94">
        <f t="shared" ref="AA81:AA95" si="33">+S81+T81+U81+W81+X81+V81+Y81</f>
        <v>131593300.43000001</v>
      </c>
      <c r="AB81" s="10"/>
      <c r="AC81" s="94"/>
      <c r="AD81" s="10"/>
      <c r="AE81" s="94"/>
      <c r="AF81" s="10"/>
      <c r="AG81" s="94"/>
      <c r="AH81" s="94"/>
      <c r="AI81" s="94">
        <f t="shared" ref="AI81:AI95" si="34">+AC81+AE81+AG81+AH81</f>
        <v>0</v>
      </c>
      <c r="AJ81" s="94">
        <f t="shared" si="30"/>
        <v>131593300.43000001</v>
      </c>
      <c r="AK81" s="90" t="str">
        <f t="shared" ref="AK81:AK95" si="35">IF(Q81="ANULADA","N/A",IF(ABS(AJ81)&gt;10,"Pendiente",IF(MAX(AB81,AD81,AF81)=0,"Pendiente",MAX(0,MAX(AB81,AD81,AF81)-O81))))</f>
        <v>Pendiente</v>
      </c>
    </row>
    <row r="82" spans="1:37" ht="15" customHeight="1" x14ac:dyDescent="0.35">
      <c r="A82" s="10" t="s">
        <v>37</v>
      </c>
      <c r="B82" s="10" t="s">
        <v>38</v>
      </c>
      <c r="C82" s="10" t="s">
        <v>39</v>
      </c>
      <c r="D82" s="89">
        <v>0</v>
      </c>
      <c r="E82" s="89">
        <v>32</v>
      </c>
      <c r="F82" s="89" t="s">
        <v>47</v>
      </c>
      <c r="G82" s="89" t="s">
        <v>48</v>
      </c>
      <c r="H82" s="92">
        <v>46023</v>
      </c>
      <c r="I82" s="103"/>
      <c r="J82" s="94">
        <v>4058424310.8699999</v>
      </c>
      <c r="K82" s="94">
        <v>4058424310.8699999</v>
      </c>
      <c r="L82" s="89" t="s">
        <v>42</v>
      </c>
      <c r="M82" s="10" t="s">
        <v>43</v>
      </c>
      <c r="N82" s="11">
        <v>2026</v>
      </c>
      <c r="O82" s="12">
        <v>46142</v>
      </c>
      <c r="P82" s="10" t="s">
        <v>169</v>
      </c>
      <c r="Q82" s="10" t="s">
        <v>45</v>
      </c>
      <c r="R82" s="10" t="s">
        <v>46</v>
      </c>
      <c r="S82" s="94">
        <f t="shared" si="32"/>
        <v>4058424310.8699999</v>
      </c>
      <c r="T82" s="94"/>
      <c r="U82" s="94"/>
      <c r="V82" s="94"/>
      <c r="W82" s="94"/>
      <c r="X82" s="94"/>
      <c r="Y82" s="94"/>
      <c r="Z82" s="94"/>
      <c r="AA82" s="94">
        <f t="shared" si="33"/>
        <v>4058424310.8699999</v>
      </c>
      <c r="AB82" s="10"/>
      <c r="AC82" s="94"/>
      <c r="AD82" s="10"/>
      <c r="AE82" s="94"/>
      <c r="AF82" s="10"/>
      <c r="AG82" s="94"/>
      <c r="AH82" s="94"/>
      <c r="AI82" s="94">
        <f t="shared" si="34"/>
        <v>0</v>
      </c>
      <c r="AJ82" s="94">
        <f t="shared" si="30"/>
        <v>4058424310.8699999</v>
      </c>
      <c r="AK82" s="90" t="str">
        <f t="shared" si="35"/>
        <v>Pendiente</v>
      </c>
    </row>
    <row r="83" spans="1:37" ht="15" hidden="1" customHeight="1" x14ac:dyDescent="0.35">
      <c r="A83" s="24" t="s">
        <v>66</v>
      </c>
      <c r="B83" s="24" t="s">
        <v>61</v>
      </c>
      <c r="C83" s="24" t="s">
        <v>67</v>
      </c>
      <c r="D83" s="89" t="s">
        <v>68</v>
      </c>
      <c r="E83" s="89">
        <v>9</v>
      </c>
      <c r="F83" s="89" t="s">
        <v>40</v>
      </c>
      <c r="G83" s="89" t="s">
        <v>41</v>
      </c>
      <c r="H83" s="92">
        <v>46023</v>
      </c>
      <c r="I83" s="103"/>
      <c r="J83" s="94">
        <v>109912411.26000001</v>
      </c>
      <c r="K83" s="94">
        <v>109912411.26000001</v>
      </c>
      <c r="L83" s="89" t="s">
        <v>42</v>
      </c>
      <c r="M83" s="24" t="s">
        <v>64</v>
      </c>
      <c r="N83" s="25">
        <v>2582</v>
      </c>
      <c r="O83" s="12">
        <v>46076</v>
      </c>
      <c r="P83" s="24" t="s">
        <v>170</v>
      </c>
      <c r="Q83" s="24" t="s">
        <v>45</v>
      </c>
      <c r="R83" s="24" t="s">
        <v>46</v>
      </c>
      <c r="S83" s="94">
        <f t="shared" si="32"/>
        <v>109912411.26000001</v>
      </c>
      <c r="T83" s="94"/>
      <c r="U83" s="94">
        <f t="shared" ref="U83:U88" si="36">+S83*21%</f>
        <v>23081606.364599999</v>
      </c>
      <c r="V83" s="94">
        <f t="shared" ref="V83:V88" si="37">+S83*3%</f>
        <v>3297372.3377999999</v>
      </c>
      <c r="W83" s="94">
        <f>+S83*0.3%</f>
        <v>329737.23378000001</v>
      </c>
      <c r="X83" s="94">
        <f t="shared" ref="X83:X88" si="38">IF(A83="00-175",S83*0.06,0)</f>
        <v>6594744.6755999997</v>
      </c>
      <c r="Y83" s="94"/>
      <c r="Z83" s="94"/>
      <c r="AA83" s="94">
        <f t="shared" si="33"/>
        <v>143215871.87178001</v>
      </c>
      <c r="AB83" s="12">
        <v>46121</v>
      </c>
      <c r="AC83" s="94">
        <v>143215871.87</v>
      </c>
      <c r="AD83" s="12"/>
      <c r="AE83" s="94"/>
      <c r="AF83" s="24"/>
      <c r="AG83" s="94"/>
      <c r="AH83" s="94"/>
      <c r="AI83" s="94">
        <f t="shared" si="34"/>
        <v>143215871.87</v>
      </c>
      <c r="AJ83" s="94">
        <f t="shared" si="30"/>
        <v>1.7800033092498779E-3</v>
      </c>
      <c r="AK83" s="90">
        <f t="shared" si="35"/>
        <v>45</v>
      </c>
    </row>
    <row r="84" spans="1:37" ht="15" hidden="1" customHeight="1" x14ac:dyDescent="0.35">
      <c r="A84" s="10" t="s">
        <v>66</v>
      </c>
      <c r="B84" s="10" t="s">
        <v>61</v>
      </c>
      <c r="C84" s="10" t="s">
        <v>67</v>
      </c>
      <c r="D84" s="89" t="s">
        <v>68</v>
      </c>
      <c r="E84" s="89">
        <v>9</v>
      </c>
      <c r="F84" s="89" t="s">
        <v>71</v>
      </c>
      <c r="G84" s="89" t="s">
        <v>48</v>
      </c>
      <c r="H84" s="92">
        <v>46023</v>
      </c>
      <c r="I84" s="103"/>
      <c r="J84" s="94">
        <v>24692103.82</v>
      </c>
      <c r="K84" s="94">
        <v>24692103.82</v>
      </c>
      <c r="L84" s="89" t="s">
        <v>42</v>
      </c>
      <c r="M84" s="10" t="s">
        <v>64</v>
      </c>
      <c r="N84" s="11">
        <v>2583</v>
      </c>
      <c r="O84" s="12">
        <v>46076</v>
      </c>
      <c r="P84" s="10" t="s">
        <v>171</v>
      </c>
      <c r="Q84" s="10" t="s">
        <v>45</v>
      </c>
      <c r="R84" s="10" t="s">
        <v>46</v>
      </c>
      <c r="S84" s="94">
        <f t="shared" si="32"/>
        <v>24692103.82</v>
      </c>
      <c r="T84" s="94"/>
      <c r="U84" s="94">
        <f t="shared" si="36"/>
        <v>5185341.8021999998</v>
      </c>
      <c r="V84" s="94">
        <f t="shared" si="37"/>
        <v>740763.11459999997</v>
      </c>
      <c r="W84" s="94">
        <f>+S84*0.3%</f>
        <v>74076.311459999997</v>
      </c>
      <c r="X84" s="94">
        <f t="shared" si="38"/>
        <v>1481526.2291999999</v>
      </c>
      <c r="Y84" s="94"/>
      <c r="Z84" s="94"/>
      <c r="AA84" s="94">
        <f t="shared" si="33"/>
        <v>32173811.277459998</v>
      </c>
      <c r="AB84" s="12">
        <v>46121</v>
      </c>
      <c r="AC84" s="94">
        <v>32173811.27</v>
      </c>
      <c r="AD84" s="12">
        <v>46121</v>
      </c>
      <c r="AE84" s="94"/>
      <c r="AF84" s="10"/>
      <c r="AG84" s="94"/>
      <c r="AH84" s="94"/>
      <c r="AI84" s="94">
        <f t="shared" si="34"/>
        <v>32173811.27</v>
      </c>
      <c r="AJ84" s="94">
        <f t="shared" si="30"/>
        <v>7.4599981307983398E-3</v>
      </c>
      <c r="AK84" s="90">
        <f t="shared" si="35"/>
        <v>45</v>
      </c>
    </row>
    <row r="85" spans="1:37" ht="15" hidden="1" customHeight="1" x14ac:dyDescent="0.35">
      <c r="A85" s="10" t="s">
        <v>79</v>
      </c>
      <c r="B85" s="14" t="s">
        <v>80</v>
      </c>
      <c r="C85" s="10" t="s">
        <v>81</v>
      </c>
      <c r="D85" s="89" t="s">
        <v>154</v>
      </c>
      <c r="E85" s="89">
        <v>2</v>
      </c>
      <c r="F85" s="89" t="s">
        <v>155</v>
      </c>
      <c r="G85" s="89" t="s">
        <v>41</v>
      </c>
      <c r="H85" s="92">
        <v>46023</v>
      </c>
      <c r="I85" s="103">
        <v>15416657.01</v>
      </c>
      <c r="J85" s="94">
        <v>35972199.68</v>
      </c>
      <c r="K85" s="94">
        <v>35972199.68</v>
      </c>
      <c r="L85" s="89" t="s">
        <v>42</v>
      </c>
      <c r="M85" s="10" t="s">
        <v>64</v>
      </c>
      <c r="N85" s="11">
        <v>2584</v>
      </c>
      <c r="O85" s="12">
        <v>46076</v>
      </c>
      <c r="P85" s="10" t="s">
        <v>172</v>
      </c>
      <c r="Q85" s="10" t="s">
        <v>45</v>
      </c>
      <c r="R85" s="10" t="s">
        <v>46</v>
      </c>
      <c r="S85" s="94">
        <f t="shared" si="32"/>
        <v>35972199.68</v>
      </c>
      <c r="T85" s="94"/>
      <c r="U85" s="94">
        <f t="shared" si="36"/>
        <v>7554161.9327999996</v>
      </c>
      <c r="V85" s="94">
        <f t="shared" si="37"/>
        <v>1079165.9904</v>
      </c>
      <c r="W85" s="94">
        <f>+S85*2.5%</f>
        <v>899304.99200000009</v>
      </c>
      <c r="X85" s="94">
        <f t="shared" si="38"/>
        <v>0</v>
      </c>
      <c r="Y85" s="94"/>
      <c r="Z85" s="94"/>
      <c r="AA85" s="94">
        <f t="shared" si="33"/>
        <v>45504832.595200002</v>
      </c>
      <c r="AB85" s="26">
        <v>46093</v>
      </c>
      <c r="AC85" s="94">
        <v>45504832.590000004</v>
      </c>
      <c r="AD85" s="10"/>
      <c r="AE85" s="94"/>
      <c r="AF85" s="10"/>
      <c r="AG85" s="94"/>
      <c r="AH85" s="94"/>
      <c r="AI85" s="94">
        <f t="shared" si="34"/>
        <v>45504832.590000004</v>
      </c>
      <c r="AJ85" s="94">
        <f t="shared" si="30"/>
        <v>5.1999986171722412E-3</v>
      </c>
      <c r="AK85" s="90">
        <f t="shared" si="35"/>
        <v>17</v>
      </c>
    </row>
    <row r="86" spans="1:37" ht="15" hidden="1" customHeight="1" x14ac:dyDescent="0.35">
      <c r="A86" s="10" t="s">
        <v>79</v>
      </c>
      <c r="B86" s="14" t="s">
        <v>80</v>
      </c>
      <c r="C86" s="10" t="s">
        <v>81</v>
      </c>
      <c r="D86" s="89" t="s">
        <v>154</v>
      </c>
      <c r="E86" s="89">
        <v>2</v>
      </c>
      <c r="F86" s="89" t="s">
        <v>173</v>
      </c>
      <c r="G86" s="89" t="s">
        <v>48</v>
      </c>
      <c r="H86" s="92">
        <v>46023</v>
      </c>
      <c r="I86" s="103"/>
      <c r="J86" s="94">
        <v>5687103.9299999997</v>
      </c>
      <c r="K86" s="94">
        <v>5687103.9299999997</v>
      </c>
      <c r="L86" s="89" t="s">
        <v>42</v>
      </c>
      <c r="M86" s="10" t="s">
        <v>64</v>
      </c>
      <c r="N86" s="11">
        <v>2585</v>
      </c>
      <c r="O86" s="12">
        <v>46076</v>
      </c>
      <c r="P86" s="10" t="s">
        <v>174</v>
      </c>
      <c r="Q86" s="10" t="s">
        <v>45</v>
      </c>
      <c r="R86" s="10" t="s">
        <v>46</v>
      </c>
      <c r="S86" s="94">
        <f t="shared" si="32"/>
        <v>5687103.9299999997</v>
      </c>
      <c r="T86" s="94"/>
      <c r="U86" s="94">
        <f t="shared" si="36"/>
        <v>1194291.8252999999</v>
      </c>
      <c r="V86" s="94">
        <f t="shared" si="37"/>
        <v>170613.11789999998</v>
      </c>
      <c r="W86" s="94">
        <f>+S86*2.5%</f>
        <v>142177.59825000001</v>
      </c>
      <c r="X86" s="94">
        <f t="shared" si="38"/>
        <v>0</v>
      </c>
      <c r="Y86" s="94"/>
      <c r="Z86" s="94"/>
      <c r="AA86" s="94">
        <f t="shared" si="33"/>
        <v>7194186.4714499991</v>
      </c>
      <c r="AB86" s="26">
        <v>46093</v>
      </c>
      <c r="AC86" s="94">
        <v>7194186.4800000004</v>
      </c>
      <c r="AD86" s="10"/>
      <c r="AE86" s="94"/>
      <c r="AF86" s="10"/>
      <c r="AG86" s="94"/>
      <c r="AH86" s="94"/>
      <c r="AI86" s="94">
        <f t="shared" si="34"/>
        <v>7194186.4800000004</v>
      </c>
      <c r="AJ86" s="94">
        <f t="shared" si="30"/>
        <v>-8.5500013083219528E-3</v>
      </c>
      <c r="AK86" s="90">
        <f t="shared" si="35"/>
        <v>17</v>
      </c>
    </row>
    <row r="87" spans="1:37" ht="15" hidden="1" customHeight="1" x14ac:dyDescent="0.35">
      <c r="A87" s="10" t="s">
        <v>79</v>
      </c>
      <c r="B87" s="14" t="s">
        <v>80</v>
      </c>
      <c r="C87" s="10" t="s">
        <v>81</v>
      </c>
      <c r="D87" s="89" t="s">
        <v>159</v>
      </c>
      <c r="E87" s="89">
        <v>2</v>
      </c>
      <c r="F87" s="89" t="s">
        <v>160</v>
      </c>
      <c r="G87" s="89" t="s">
        <v>41</v>
      </c>
      <c r="H87" s="92">
        <v>46023</v>
      </c>
      <c r="I87" s="103">
        <v>3310220.63</v>
      </c>
      <c r="J87" s="94">
        <v>5070706.66</v>
      </c>
      <c r="K87" s="94">
        <v>5070706.66</v>
      </c>
      <c r="L87" s="89" t="s">
        <v>42</v>
      </c>
      <c r="M87" s="10" t="s">
        <v>64</v>
      </c>
      <c r="N87" s="11">
        <v>2586</v>
      </c>
      <c r="O87" s="12">
        <v>46076</v>
      </c>
      <c r="P87" s="10" t="s">
        <v>175</v>
      </c>
      <c r="Q87" s="10" t="s">
        <v>45</v>
      </c>
      <c r="R87" s="10" t="s">
        <v>46</v>
      </c>
      <c r="S87" s="94">
        <f t="shared" si="32"/>
        <v>5070706.66</v>
      </c>
      <c r="T87" s="94"/>
      <c r="U87" s="94">
        <f t="shared" si="36"/>
        <v>1064848.3986</v>
      </c>
      <c r="V87" s="94">
        <f t="shared" si="37"/>
        <v>152121.1998</v>
      </c>
      <c r="W87" s="94">
        <f>+S87*2.5%</f>
        <v>126767.66650000001</v>
      </c>
      <c r="X87" s="94">
        <f t="shared" si="38"/>
        <v>0</v>
      </c>
      <c r="Y87" s="94"/>
      <c r="Z87" s="94"/>
      <c r="AA87" s="94">
        <f t="shared" si="33"/>
        <v>6414443.9249</v>
      </c>
      <c r="AB87" s="26">
        <v>46093</v>
      </c>
      <c r="AC87" s="94">
        <v>6170124.5</v>
      </c>
      <c r="AD87" s="12">
        <v>46121</v>
      </c>
      <c r="AE87" s="94">
        <v>244319.43</v>
      </c>
      <c r="AF87" s="10"/>
      <c r="AG87" s="94"/>
      <c r="AH87" s="94"/>
      <c r="AI87" s="94">
        <f t="shared" si="34"/>
        <v>6414443.9299999997</v>
      </c>
      <c r="AJ87" s="94">
        <f t="shared" si="30"/>
        <v>-5.0999997183680534E-3</v>
      </c>
      <c r="AK87" s="90">
        <f t="shared" si="35"/>
        <v>45</v>
      </c>
    </row>
    <row r="88" spans="1:37" ht="15" hidden="1" customHeight="1" x14ac:dyDescent="0.35">
      <c r="A88" s="10" t="s">
        <v>66</v>
      </c>
      <c r="B88" s="10" t="s">
        <v>61</v>
      </c>
      <c r="C88" s="10" t="s">
        <v>67</v>
      </c>
      <c r="D88" s="89" t="s">
        <v>176</v>
      </c>
      <c r="E88" s="89">
        <v>9</v>
      </c>
      <c r="F88" s="89" t="s">
        <v>177</v>
      </c>
      <c r="G88" s="89" t="s">
        <v>41</v>
      </c>
      <c r="H88" s="92">
        <v>46023</v>
      </c>
      <c r="I88" s="103"/>
      <c r="J88" s="94">
        <v>13950000</v>
      </c>
      <c r="K88" s="94">
        <v>13950000</v>
      </c>
      <c r="L88" s="89" t="s">
        <v>42</v>
      </c>
      <c r="M88" s="10" t="s">
        <v>64</v>
      </c>
      <c r="N88" s="11">
        <v>2587</v>
      </c>
      <c r="O88" s="12">
        <v>46076</v>
      </c>
      <c r="P88" s="10" t="s">
        <v>178</v>
      </c>
      <c r="Q88" s="10" t="s">
        <v>45</v>
      </c>
      <c r="R88" s="10" t="s">
        <v>46</v>
      </c>
      <c r="S88" s="94">
        <f t="shared" si="32"/>
        <v>13950000</v>
      </c>
      <c r="T88" s="94"/>
      <c r="U88" s="94">
        <f t="shared" si="36"/>
        <v>2929500</v>
      </c>
      <c r="V88" s="94">
        <f t="shared" si="37"/>
        <v>418500</v>
      </c>
      <c r="W88" s="94">
        <f>+S88*0.3%</f>
        <v>41850</v>
      </c>
      <c r="X88" s="94">
        <f t="shared" si="38"/>
        <v>837000</v>
      </c>
      <c r="Y88" s="94"/>
      <c r="Z88" s="94"/>
      <c r="AA88" s="94">
        <f t="shared" si="33"/>
        <v>18176850</v>
      </c>
      <c r="AB88" s="12">
        <v>46121</v>
      </c>
      <c r="AC88" s="94">
        <v>18176278.109999999</v>
      </c>
      <c r="AD88" s="12">
        <v>46141</v>
      </c>
      <c r="AE88" s="94">
        <v>571.89</v>
      </c>
      <c r="AF88" s="10"/>
      <c r="AG88" s="94"/>
      <c r="AH88" s="94"/>
      <c r="AI88" s="94">
        <f t="shared" si="34"/>
        <v>18176850</v>
      </c>
      <c r="AJ88" s="94">
        <f t="shared" si="30"/>
        <v>0</v>
      </c>
      <c r="AK88" s="90">
        <f t="shared" si="35"/>
        <v>65</v>
      </c>
    </row>
    <row r="89" spans="1:37" ht="15" hidden="1" customHeight="1" x14ac:dyDescent="0.35">
      <c r="A89" s="10" t="s">
        <v>79</v>
      </c>
      <c r="B89" s="14" t="s">
        <v>80</v>
      </c>
      <c r="C89" s="10" t="s">
        <v>81</v>
      </c>
      <c r="D89" s="89" t="s">
        <v>107</v>
      </c>
      <c r="E89" s="89">
        <v>4</v>
      </c>
      <c r="F89" s="89" t="s">
        <v>108</v>
      </c>
      <c r="G89" s="89" t="s">
        <v>41</v>
      </c>
      <c r="H89" s="92">
        <v>46023</v>
      </c>
      <c r="I89" s="103">
        <v>16215786.33</v>
      </c>
      <c r="J89" s="94">
        <v>42632449.030000001</v>
      </c>
      <c r="K89" s="94">
        <v>42632449.030000001</v>
      </c>
      <c r="L89" s="89" t="s">
        <v>42</v>
      </c>
      <c r="M89" s="10" t="s">
        <v>64</v>
      </c>
      <c r="N89" s="11">
        <v>2588</v>
      </c>
      <c r="O89" s="12">
        <v>46098</v>
      </c>
      <c r="P89" s="10" t="s">
        <v>179</v>
      </c>
      <c r="Q89" s="10" t="s">
        <v>45</v>
      </c>
      <c r="R89" s="10" t="s">
        <v>46</v>
      </c>
      <c r="S89" s="94">
        <f t="shared" si="32"/>
        <v>42632449.030000001</v>
      </c>
      <c r="T89" s="94"/>
      <c r="U89" s="94">
        <v>8952814.3000000007</v>
      </c>
      <c r="V89" s="94">
        <v>1278973.47</v>
      </c>
      <c r="W89" s="94">
        <v>1065811.23</v>
      </c>
      <c r="X89" s="94"/>
      <c r="Y89" s="94"/>
      <c r="Z89" s="94"/>
      <c r="AA89" s="94">
        <f t="shared" si="33"/>
        <v>53930048.029999994</v>
      </c>
      <c r="AB89" s="26">
        <v>46121</v>
      </c>
      <c r="AC89" s="94">
        <v>53930048.030000001</v>
      </c>
      <c r="AD89" s="10"/>
      <c r="AE89" s="94"/>
      <c r="AF89" s="10"/>
      <c r="AG89" s="94"/>
      <c r="AH89" s="94"/>
      <c r="AI89" s="94">
        <f t="shared" si="34"/>
        <v>53930048.030000001</v>
      </c>
      <c r="AJ89" s="94">
        <f t="shared" si="30"/>
        <v>0</v>
      </c>
      <c r="AK89" s="90">
        <f t="shared" si="35"/>
        <v>23</v>
      </c>
    </row>
    <row r="90" spans="1:37" ht="15" hidden="1" customHeight="1" x14ac:dyDescent="0.35">
      <c r="A90" s="10" t="s">
        <v>79</v>
      </c>
      <c r="B90" s="14" t="s">
        <v>80</v>
      </c>
      <c r="C90" s="10" t="s">
        <v>81</v>
      </c>
      <c r="D90" s="89" t="s">
        <v>110</v>
      </c>
      <c r="E90" s="89">
        <v>4</v>
      </c>
      <c r="F90" s="89" t="s">
        <v>111</v>
      </c>
      <c r="G90" s="89" t="s">
        <v>48</v>
      </c>
      <c r="H90" s="92">
        <v>46023</v>
      </c>
      <c r="I90" s="103"/>
      <c r="J90" s="94">
        <v>6664100.79</v>
      </c>
      <c r="K90" s="94">
        <v>6664100.79</v>
      </c>
      <c r="L90" s="89" t="s">
        <v>42</v>
      </c>
      <c r="M90" s="10" t="s">
        <v>64</v>
      </c>
      <c r="N90" s="11">
        <v>2589</v>
      </c>
      <c r="O90" s="12">
        <v>46098</v>
      </c>
      <c r="P90" s="10" t="s">
        <v>180</v>
      </c>
      <c r="Q90" s="10" t="s">
        <v>45</v>
      </c>
      <c r="R90" s="10" t="s">
        <v>46</v>
      </c>
      <c r="S90" s="94">
        <f t="shared" si="32"/>
        <v>6664100.79</v>
      </c>
      <c r="T90" s="94"/>
      <c r="U90" s="94">
        <v>1399461.17</v>
      </c>
      <c r="V90" s="94">
        <v>199923.02</v>
      </c>
      <c r="W90" s="94">
        <v>166602.51999999999</v>
      </c>
      <c r="X90" s="94"/>
      <c r="Y90" s="94"/>
      <c r="Z90" s="94"/>
      <c r="AA90" s="94">
        <f t="shared" si="33"/>
        <v>8430087.5</v>
      </c>
      <c r="AB90" s="26">
        <v>46121</v>
      </c>
      <c r="AC90" s="94">
        <v>8430087.5</v>
      </c>
      <c r="AD90" s="10"/>
      <c r="AE90" s="94"/>
      <c r="AF90" s="10"/>
      <c r="AG90" s="94"/>
      <c r="AH90" s="94"/>
      <c r="AI90" s="94">
        <f t="shared" si="34"/>
        <v>8430087.5</v>
      </c>
      <c r="AJ90" s="94">
        <f t="shared" si="30"/>
        <v>0</v>
      </c>
      <c r="AK90" s="90">
        <f t="shared" si="35"/>
        <v>23</v>
      </c>
    </row>
    <row r="91" spans="1:37" ht="15" hidden="1" customHeight="1" x14ac:dyDescent="0.35">
      <c r="A91" s="32" t="s">
        <v>115</v>
      </c>
      <c r="B91" s="14" t="s">
        <v>80</v>
      </c>
      <c r="C91" s="32" t="s">
        <v>116</v>
      </c>
      <c r="D91" s="32" t="s">
        <v>116</v>
      </c>
      <c r="E91" s="89">
        <v>3</v>
      </c>
      <c r="F91" s="89" t="s">
        <v>40</v>
      </c>
      <c r="G91" s="89" t="s">
        <v>41</v>
      </c>
      <c r="H91" s="92">
        <v>46023</v>
      </c>
      <c r="I91" s="103"/>
      <c r="J91" s="94">
        <v>102763620.77</v>
      </c>
      <c r="K91" s="94">
        <v>102763620.77</v>
      </c>
      <c r="L91" s="89" t="s">
        <v>42</v>
      </c>
      <c r="M91" s="32" t="s">
        <v>64</v>
      </c>
      <c r="N91" s="33">
        <v>2592</v>
      </c>
      <c r="O91" s="12">
        <v>46108</v>
      </c>
      <c r="P91" s="32" t="s">
        <v>181</v>
      </c>
      <c r="Q91" s="17" t="s">
        <v>45</v>
      </c>
      <c r="R91" s="17" t="s">
        <v>46</v>
      </c>
      <c r="S91" s="94">
        <f t="shared" si="32"/>
        <v>102763620.77</v>
      </c>
      <c r="T91" s="94"/>
      <c r="U91" s="94">
        <f>+S91*21%</f>
        <v>21580360.361699998</v>
      </c>
      <c r="V91" s="94">
        <f>+S91*3%</f>
        <v>3082908.6231</v>
      </c>
      <c r="W91" s="94">
        <f>+S91*2.5%</f>
        <v>2569090.5192499999</v>
      </c>
      <c r="X91" s="94">
        <f>IF(A91="00-175",S91*0.06,0)</f>
        <v>0</v>
      </c>
      <c r="Y91" s="94"/>
      <c r="Z91" s="94"/>
      <c r="AA91" s="94">
        <f t="shared" si="33"/>
        <v>129995980.27405</v>
      </c>
      <c r="AB91" s="26">
        <v>46121</v>
      </c>
      <c r="AC91" s="94">
        <v>53.77</v>
      </c>
      <c r="AD91" s="12">
        <v>46141</v>
      </c>
      <c r="AE91" s="94">
        <v>129995926.5</v>
      </c>
      <c r="AF91" s="32"/>
      <c r="AG91" s="94"/>
      <c r="AH91" s="94"/>
      <c r="AI91" s="94">
        <f t="shared" si="34"/>
        <v>129995980.27</v>
      </c>
      <c r="AJ91" s="94">
        <f t="shared" si="30"/>
        <v>4.0500015020370483E-3</v>
      </c>
      <c r="AK91" s="90">
        <f t="shared" si="35"/>
        <v>33</v>
      </c>
    </row>
    <row r="92" spans="1:37" ht="15" hidden="1" customHeight="1" x14ac:dyDescent="0.35">
      <c r="A92" s="32" t="s">
        <v>115</v>
      </c>
      <c r="B92" s="14" t="s">
        <v>80</v>
      </c>
      <c r="C92" s="32" t="s">
        <v>116</v>
      </c>
      <c r="D92" s="32" t="s">
        <v>116</v>
      </c>
      <c r="E92" s="89">
        <v>3</v>
      </c>
      <c r="F92" s="89" t="s">
        <v>71</v>
      </c>
      <c r="G92" s="89" t="s">
        <v>48</v>
      </c>
      <c r="H92" s="92">
        <v>46023</v>
      </c>
      <c r="I92" s="103"/>
      <c r="J92" s="94">
        <v>12306543.08</v>
      </c>
      <c r="K92" s="94">
        <v>12306543.08</v>
      </c>
      <c r="L92" s="89" t="s">
        <v>42</v>
      </c>
      <c r="M92" s="32" t="s">
        <v>64</v>
      </c>
      <c r="N92" s="33">
        <v>2594</v>
      </c>
      <c r="O92" s="12">
        <v>46108</v>
      </c>
      <c r="P92" s="32" t="s">
        <v>182</v>
      </c>
      <c r="Q92" s="17" t="s">
        <v>45</v>
      </c>
      <c r="R92" s="17" t="s">
        <v>46</v>
      </c>
      <c r="S92" s="94">
        <f t="shared" si="32"/>
        <v>12306543.08</v>
      </c>
      <c r="T92" s="94"/>
      <c r="U92" s="94">
        <f>+S92*21%</f>
        <v>2584374.0468000001</v>
      </c>
      <c r="V92" s="94">
        <f>+S92*3%</f>
        <v>369196.29239999998</v>
      </c>
      <c r="W92" s="94">
        <f>+S92*2.5%</f>
        <v>307663.57699999999</v>
      </c>
      <c r="X92" s="94">
        <f>IF(A92="00-175",S92*0.06,0)</f>
        <v>0</v>
      </c>
      <c r="Y92" s="94"/>
      <c r="Z92" s="94"/>
      <c r="AA92" s="94">
        <f t="shared" si="33"/>
        <v>15567776.996200001</v>
      </c>
      <c r="AB92" s="12">
        <v>46141</v>
      </c>
      <c r="AC92" s="94">
        <v>15567777</v>
      </c>
      <c r="AD92" s="10"/>
      <c r="AE92" s="94"/>
      <c r="AF92" s="10"/>
      <c r="AG92" s="94"/>
      <c r="AH92" s="94"/>
      <c r="AI92" s="94">
        <f t="shared" si="34"/>
        <v>15567777</v>
      </c>
      <c r="AJ92" s="94">
        <f t="shared" si="30"/>
        <v>-3.7999991327524185E-3</v>
      </c>
      <c r="AK92" s="90">
        <f t="shared" si="35"/>
        <v>33</v>
      </c>
    </row>
    <row r="93" spans="1:37" ht="15" hidden="1" customHeight="1" x14ac:dyDescent="0.35">
      <c r="A93" s="27" t="s">
        <v>85</v>
      </c>
      <c r="B93" s="14" t="s">
        <v>80</v>
      </c>
      <c r="C93" s="27" t="s">
        <v>86</v>
      </c>
      <c r="D93" s="89" t="s">
        <v>103</v>
      </c>
      <c r="E93" s="89">
        <v>5</v>
      </c>
      <c r="F93" s="89" t="s">
        <v>104</v>
      </c>
      <c r="G93" s="89" t="s">
        <v>41</v>
      </c>
      <c r="H93" s="92">
        <v>46023</v>
      </c>
      <c r="I93" s="103"/>
      <c r="J93" s="94">
        <v>131335902.2</v>
      </c>
      <c r="K93" s="94">
        <v>131335902.2</v>
      </c>
      <c r="L93" s="89" t="s">
        <v>42</v>
      </c>
      <c r="M93" s="27" t="s">
        <v>64</v>
      </c>
      <c r="N93" s="33">
        <v>2595</v>
      </c>
      <c r="O93" s="12">
        <v>46132</v>
      </c>
      <c r="P93" s="27" t="s">
        <v>183</v>
      </c>
      <c r="Q93" s="17" t="s">
        <v>45</v>
      </c>
      <c r="R93" s="17" t="s">
        <v>46</v>
      </c>
      <c r="S93" s="94">
        <f t="shared" si="32"/>
        <v>131335902.2</v>
      </c>
      <c r="T93" s="94"/>
      <c r="U93" s="94">
        <f>+S93*21%</f>
        <v>27580539.462000001</v>
      </c>
      <c r="V93" s="94">
        <f>+S93*3%</f>
        <v>3940077.0660000001</v>
      </c>
      <c r="W93" s="94">
        <f>+S93*2.5%</f>
        <v>3283397.5550000002</v>
      </c>
      <c r="X93" s="94">
        <f>IF(A93="00-175",S93*0.06,0)</f>
        <v>0</v>
      </c>
      <c r="Y93" s="94"/>
      <c r="Z93" s="94"/>
      <c r="AA93" s="94">
        <f t="shared" si="33"/>
        <v>166139916.28300002</v>
      </c>
      <c r="AB93" s="12">
        <v>46141</v>
      </c>
      <c r="AC93" s="94">
        <v>166139916.28999999</v>
      </c>
      <c r="AD93" s="98"/>
      <c r="AE93" s="94"/>
      <c r="AF93" s="27"/>
      <c r="AG93" s="94"/>
      <c r="AH93" s="94"/>
      <c r="AI93" s="94">
        <f t="shared" si="34"/>
        <v>166139916.28999999</v>
      </c>
      <c r="AJ93" s="94">
        <f t="shared" si="30"/>
        <v>-6.999969482421875E-3</v>
      </c>
      <c r="AK93" s="90">
        <f t="shared" si="35"/>
        <v>9</v>
      </c>
    </row>
    <row r="94" spans="1:37" ht="15" hidden="1" customHeight="1" x14ac:dyDescent="0.35">
      <c r="A94" s="27" t="s">
        <v>85</v>
      </c>
      <c r="B94" s="14" t="s">
        <v>80</v>
      </c>
      <c r="C94" s="27" t="s">
        <v>86</v>
      </c>
      <c r="D94" s="89" t="s">
        <v>120</v>
      </c>
      <c r="E94" s="89">
        <v>5</v>
      </c>
      <c r="F94" s="89" t="s">
        <v>121</v>
      </c>
      <c r="G94" s="89" t="s">
        <v>48</v>
      </c>
      <c r="H94" s="92">
        <v>46023</v>
      </c>
      <c r="I94" s="103"/>
      <c r="J94" s="94">
        <v>5408883.7300000004</v>
      </c>
      <c r="K94" s="94">
        <v>5408883.7300000004</v>
      </c>
      <c r="L94" s="89" t="s">
        <v>42</v>
      </c>
      <c r="M94" s="27" t="s">
        <v>64</v>
      </c>
      <c r="N94" s="33">
        <v>2596</v>
      </c>
      <c r="O94" s="12">
        <v>46132</v>
      </c>
      <c r="P94" s="27" t="s">
        <v>184</v>
      </c>
      <c r="Q94" s="17" t="s">
        <v>45</v>
      </c>
      <c r="R94" s="17" t="s">
        <v>46</v>
      </c>
      <c r="S94" s="94">
        <f t="shared" si="32"/>
        <v>5408883.7300000004</v>
      </c>
      <c r="T94" s="94"/>
      <c r="U94" s="94">
        <f>+S94*21%</f>
        <v>1135865.5833000001</v>
      </c>
      <c r="V94" s="94">
        <f>+S94*3%</f>
        <v>162266.51190000001</v>
      </c>
      <c r="W94" s="94">
        <f>+S94*2.5%</f>
        <v>135222.09325000001</v>
      </c>
      <c r="X94" s="94">
        <f>IF(A94="00-175",S94*0.06,0)</f>
        <v>0</v>
      </c>
      <c r="Y94" s="94"/>
      <c r="Z94" s="94"/>
      <c r="AA94" s="94">
        <f t="shared" si="33"/>
        <v>6842237.9184500007</v>
      </c>
      <c r="AB94" s="29"/>
      <c r="AC94" s="94"/>
      <c r="AD94" s="98"/>
      <c r="AE94" s="94"/>
      <c r="AF94" s="27"/>
      <c r="AG94" s="94"/>
      <c r="AH94" s="94"/>
      <c r="AI94" s="94">
        <f t="shared" si="34"/>
        <v>0</v>
      </c>
      <c r="AJ94" s="94">
        <f t="shared" si="30"/>
        <v>6842237.9184500007</v>
      </c>
      <c r="AK94" s="90" t="str">
        <f t="shared" si="35"/>
        <v>Pendiente</v>
      </c>
    </row>
    <row r="95" spans="1:37" ht="15" hidden="1" customHeight="1" x14ac:dyDescent="0.35">
      <c r="A95" s="10" t="s">
        <v>79</v>
      </c>
      <c r="B95" s="14" t="s">
        <v>80</v>
      </c>
      <c r="C95" s="10" t="s">
        <v>81</v>
      </c>
      <c r="D95" s="89" t="s">
        <v>185</v>
      </c>
      <c r="E95" s="89">
        <v>4</v>
      </c>
      <c r="F95" s="89" t="s">
        <v>186</v>
      </c>
      <c r="G95" s="89" t="s">
        <v>41</v>
      </c>
      <c r="H95" s="92">
        <v>46023</v>
      </c>
      <c r="I95" s="103"/>
      <c r="J95" s="94">
        <v>10445517.48</v>
      </c>
      <c r="K95" s="94">
        <v>10445517.48</v>
      </c>
      <c r="L95" s="89" t="s">
        <v>42</v>
      </c>
      <c r="M95" s="10" t="s">
        <v>64</v>
      </c>
      <c r="N95" s="11">
        <v>2604</v>
      </c>
      <c r="O95" s="12">
        <v>46133</v>
      </c>
      <c r="P95" s="10" t="s">
        <v>179</v>
      </c>
      <c r="Q95" s="10" t="s">
        <v>45</v>
      </c>
      <c r="R95" s="10" t="s">
        <v>46</v>
      </c>
      <c r="S95" s="94">
        <f t="shared" si="32"/>
        <v>10445517.48</v>
      </c>
      <c r="T95" s="94"/>
      <c r="U95" s="94">
        <f>+S95*21%</f>
        <v>2193558.6708</v>
      </c>
      <c r="V95" s="94">
        <f>+S95*3%</f>
        <v>313365.52439999999</v>
      </c>
      <c r="W95" s="94">
        <f>+S95*2.5%</f>
        <v>261137.93700000003</v>
      </c>
      <c r="X95" s="94"/>
      <c r="Y95" s="94"/>
      <c r="Z95" s="94"/>
      <c r="AA95" s="94">
        <f t="shared" si="33"/>
        <v>13213579.612200001</v>
      </c>
      <c r="AB95" s="29">
        <v>46141</v>
      </c>
      <c r="AC95" s="94">
        <v>13213579.612200001</v>
      </c>
      <c r="AD95" s="10"/>
      <c r="AE95" s="94"/>
      <c r="AF95" s="10"/>
      <c r="AG95" s="94"/>
      <c r="AH95" s="94"/>
      <c r="AI95" s="94">
        <f t="shared" si="34"/>
        <v>13213579.612200001</v>
      </c>
      <c r="AJ95" s="94">
        <f t="shared" si="30"/>
        <v>0</v>
      </c>
      <c r="AK95" s="90">
        <f t="shared" si="35"/>
        <v>8</v>
      </c>
    </row>
    <row r="96" spans="1:37" ht="15" hidden="1" customHeight="1" x14ac:dyDescent="0.35">
      <c r="A96" s="10" t="s">
        <v>130</v>
      </c>
      <c r="B96" s="14" t="s">
        <v>131</v>
      </c>
      <c r="C96" s="10" t="s">
        <v>132</v>
      </c>
      <c r="D96" s="89" t="s">
        <v>133</v>
      </c>
      <c r="E96" s="89">
        <v>2</v>
      </c>
      <c r="F96" s="89" t="s">
        <v>187</v>
      </c>
      <c r="G96" s="89" t="s">
        <v>41</v>
      </c>
      <c r="H96" s="92">
        <v>46023</v>
      </c>
      <c r="I96" s="94">
        <v>1472030553.01</v>
      </c>
      <c r="J96" s="94">
        <v>1472030553.01</v>
      </c>
      <c r="K96" s="94">
        <v>0</v>
      </c>
      <c r="L96" s="89" t="s">
        <v>42</v>
      </c>
      <c r="M96" s="10" t="s">
        <v>64</v>
      </c>
      <c r="N96" s="33">
        <v>2616</v>
      </c>
      <c r="O96" s="12">
        <v>46162</v>
      </c>
      <c r="P96" s="10" t="s">
        <v>188</v>
      </c>
      <c r="Q96" s="10" t="s">
        <v>45</v>
      </c>
      <c r="R96" s="10" t="s">
        <v>46</v>
      </c>
      <c r="S96" s="94">
        <v>1472030553.01</v>
      </c>
      <c r="T96" s="94">
        <v>154563208.06999999</v>
      </c>
      <c r="U96" s="94">
        <v>0</v>
      </c>
      <c r="V96" s="94">
        <v>0</v>
      </c>
      <c r="W96" s="94">
        <v>44160916.590000004</v>
      </c>
      <c r="X96" s="94">
        <v>51521069.359999999</v>
      </c>
      <c r="Y96" s="94">
        <v>0</v>
      </c>
      <c r="Z96" s="94">
        <v>22080458.300000001</v>
      </c>
      <c r="AA96" s="94">
        <v>1744356205.3299999</v>
      </c>
      <c r="AB96" s="16">
        <v>46007</v>
      </c>
      <c r="AC96" s="94">
        <v>0</v>
      </c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46</v>
      </c>
    </row>
    <row r="97" spans="1:37" ht="15" hidden="1" customHeight="1" x14ac:dyDescent="0.35">
      <c r="A97" s="27" t="s">
        <v>130</v>
      </c>
      <c r="B97" s="27" t="s">
        <v>131</v>
      </c>
      <c r="C97" s="10" t="s">
        <v>132</v>
      </c>
      <c r="D97" s="89" t="s">
        <v>133</v>
      </c>
      <c r="E97" s="89">
        <v>2</v>
      </c>
      <c r="F97" s="89" t="s">
        <v>189</v>
      </c>
      <c r="G97" s="89" t="s">
        <v>48</v>
      </c>
      <c r="H97" s="92">
        <v>46023</v>
      </c>
      <c r="I97" s="94">
        <v>72697073.409999996</v>
      </c>
      <c r="J97" s="94">
        <v>72697073.409999996</v>
      </c>
      <c r="K97" s="94">
        <v>0</v>
      </c>
      <c r="L97" s="89" t="s">
        <v>42</v>
      </c>
      <c r="M97" s="27" t="s">
        <v>64</v>
      </c>
      <c r="N97" s="33">
        <v>2617</v>
      </c>
      <c r="O97" s="12">
        <v>46162</v>
      </c>
      <c r="P97" s="27" t="s">
        <v>190</v>
      </c>
      <c r="Q97" s="17" t="s">
        <v>45</v>
      </c>
      <c r="R97" s="17" t="s">
        <v>46</v>
      </c>
      <c r="S97" s="94">
        <v>72697073.409999996</v>
      </c>
      <c r="T97" s="94">
        <v>7633192.71</v>
      </c>
      <c r="U97" s="94">
        <v>0</v>
      </c>
      <c r="V97" s="94">
        <v>0</v>
      </c>
      <c r="W97" s="94">
        <v>2180912.2000000002</v>
      </c>
      <c r="X97" s="94">
        <v>2544397.5699999998</v>
      </c>
      <c r="Y97" s="94">
        <v>0</v>
      </c>
      <c r="Z97" s="94">
        <v>1090456.1000000001</v>
      </c>
      <c r="AA97" s="94">
        <v>86146031.989999995</v>
      </c>
      <c r="AB97" s="16">
        <v>46007</v>
      </c>
      <c r="AC97" s="94">
        <v>0</v>
      </c>
      <c r="AD97" s="98"/>
      <c r="AE97" s="94"/>
      <c r="AF97" s="27"/>
      <c r="AG97" s="94"/>
      <c r="AH97" s="94"/>
      <c r="AI97" s="94">
        <v>0</v>
      </c>
      <c r="AJ97" s="94">
        <v>0</v>
      </c>
      <c r="AK97" s="90" t="s">
        <v>46</v>
      </c>
    </row>
    <row r="98" spans="1:37" ht="15" hidden="1" customHeight="1" x14ac:dyDescent="0.35">
      <c r="A98" s="10" t="s">
        <v>130</v>
      </c>
      <c r="B98" s="14" t="s">
        <v>131</v>
      </c>
      <c r="C98" s="10" t="s">
        <v>132</v>
      </c>
      <c r="D98" s="89" t="s">
        <v>133</v>
      </c>
      <c r="E98" s="89" t="s">
        <v>46</v>
      </c>
      <c r="F98" s="89" t="s">
        <v>191</v>
      </c>
      <c r="G98" s="89" t="s">
        <v>135</v>
      </c>
      <c r="H98" s="92">
        <v>46054</v>
      </c>
      <c r="I98" s="103"/>
      <c r="J98" s="94">
        <v>-859455138.39999998</v>
      </c>
      <c r="K98" s="94">
        <v>-859455138.39999998</v>
      </c>
      <c r="L98" s="89" t="s">
        <v>42</v>
      </c>
      <c r="M98" s="10" t="s">
        <v>136</v>
      </c>
      <c r="N98" s="33">
        <v>368</v>
      </c>
      <c r="O98" s="12">
        <v>46162</v>
      </c>
      <c r="P98" s="10" t="s">
        <v>192</v>
      </c>
      <c r="Q98" s="10" t="s">
        <v>45</v>
      </c>
      <c r="R98" s="10" t="s">
        <v>46</v>
      </c>
      <c r="S98" s="94">
        <v>-859455138.39999998</v>
      </c>
      <c r="T98" s="94">
        <v>-90242789.530000001</v>
      </c>
      <c r="U98" s="94">
        <v>0</v>
      </c>
      <c r="V98" s="94">
        <v>0</v>
      </c>
      <c r="W98" s="94">
        <v>-25783654.149999999</v>
      </c>
      <c r="X98" s="94">
        <v>-30080929.84</v>
      </c>
      <c r="Y98" s="94">
        <v>0</v>
      </c>
      <c r="Z98" s="94">
        <v>-12891827.08</v>
      </c>
      <c r="AA98" s="94">
        <v>-1018454339</v>
      </c>
      <c r="AB98" s="26"/>
      <c r="AC98" s="94"/>
      <c r="AD98" s="10"/>
      <c r="AE98" s="94"/>
      <c r="AF98" s="10"/>
      <c r="AG98" s="94"/>
      <c r="AH98" s="94"/>
      <c r="AI98" s="94">
        <v>0</v>
      </c>
      <c r="AJ98" s="94">
        <v>0</v>
      </c>
      <c r="AK98" s="90" t="s">
        <v>46</v>
      </c>
    </row>
    <row r="99" spans="1:37" ht="15" customHeight="1" x14ac:dyDescent="0.35">
      <c r="A99" s="10" t="s">
        <v>37</v>
      </c>
      <c r="B99" s="10" t="s">
        <v>38</v>
      </c>
      <c r="C99" s="10" t="s">
        <v>39</v>
      </c>
      <c r="D99" s="89">
        <v>0</v>
      </c>
      <c r="E99" s="89">
        <v>33</v>
      </c>
      <c r="F99" s="89" t="s">
        <v>40</v>
      </c>
      <c r="G99" s="89" t="s">
        <v>41</v>
      </c>
      <c r="H99" s="92">
        <v>46054</v>
      </c>
      <c r="I99" s="103">
        <v>22575.732000000004</v>
      </c>
      <c r="J99" s="94">
        <v>203181.59</v>
      </c>
      <c r="K99" s="94">
        <v>203181.59</v>
      </c>
      <c r="L99" s="89" t="s">
        <v>42</v>
      </c>
      <c r="M99" s="10" t="s">
        <v>43</v>
      </c>
      <c r="N99" s="11">
        <v>2015</v>
      </c>
      <c r="O99" s="12">
        <v>46098</v>
      </c>
      <c r="P99" s="10" t="s">
        <v>193</v>
      </c>
      <c r="Q99" s="7" t="s">
        <v>194</v>
      </c>
      <c r="R99" s="10">
        <v>205</v>
      </c>
      <c r="S99" s="94">
        <v>0</v>
      </c>
      <c r="T99" s="94"/>
      <c r="U99" s="94">
        <v>0</v>
      </c>
      <c r="V99" s="94">
        <v>0</v>
      </c>
      <c r="W99" s="94">
        <f>IF(A99="00-175",U99*0.003,U99*0.025)</f>
        <v>0</v>
      </c>
      <c r="X99" s="94">
        <f>IF(A99="00-175",U99*0.06,0)</f>
        <v>0</v>
      </c>
      <c r="Y99" s="94">
        <v>0</v>
      </c>
      <c r="Z99" s="94"/>
      <c r="AA99" s="94">
        <f>+S99+T99+U99+W99+X99</f>
        <v>0</v>
      </c>
      <c r="AB99" s="10"/>
      <c r="AC99" s="94"/>
      <c r="AD99" s="10"/>
      <c r="AE99" s="94"/>
      <c r="AF99" s="10"/>
      <c r="AG99" s="94"/>
      <c r="AH99" s="94"/>
      <c r="AI99" s="94">
        <f t="shared" ref="AI99:AI110" si="39">+AC99+AE99+AG99+AH99</f>
        <v>0</v>
      </c>
      <c r="AJ99" s="94">
        <f t="shared" ref="AJ99:AJ110" si="40">+AA99-AI99</f>
        <v>0</v>
      </c>
      <c r="AK99" s="90" t="str">
        <f t="shared" ref="AK99:AK163" si="41">IF(Q99="ANULADA","N/A",IF(ABS(AJ99)&gt;10,"Pendiente",IF(MAX(AB99,AD99,AF99)=0,"Pendiente",MAX(0,MAX(AB99,AD99,AF99)-O99))))</f>
        <v>N/A</v>
      </c>
    </row>
    <row r="100" spans="1:37" ht="15" customHeight="1" x14ac:dyDescent="0.35">
      <c r="A100" s="10" t="s">
        <v>37</v>
      </c>
      <c r="B100" s="10" t="s">
        <v>38</v>
      </c>
      <c r="C100" s="10" t="s">
        <v>39</v>
      </c>
      <c r="D100" s="89">
        <v>0</v>
      </c>
      <c r="E100" s="89">
        <v>33</v>
      </c>
      <c r="F100" s="89" t="s">
        <v>195</v>
      </c>
      <c r="G100" s="89" t="s">
        <v>48</v>
      </c>
      <c r="H100" s="92">
        <v>46054</v>
      </c>
      <c r="I100" s="103"/>
      <c r="J100" s="94">
        <v>6266255.6299999999</v>
      </c>
      <c r="K100" s="94">
        <v>6266255.6299999999</v>
      </c>
      <c r="L100" s="89" t="s">
        <v>42</v>
      </c>
      <c r="M100" s="10" t="s">
        <v>43</v>
      </c>
      <c r="N100" s="11">
        <v>2017</v>
      </c>
      <c r="O100" s="12">
        <v>46098</v>
      </c>
      <c r="P100" s="10" t="s">
        <v>196</v>
      </c>
      <c r="Q100" s="7" t="s">
        <v>194</v>
      </c>
      <c r="R100" s="10">
        <v>206</v>
      </c>
      <c r="S100" s="94">
        <v>0</v>
      </c>
      <c r="T100" s="94"/>
      <c r="U100" s="94">
        <v>0</v>
      </c>
      <c r="V100" s="94">
        <v>0</v>
      </c>
      <c r="W100" s="94">
        <v>0</v>
      </c>
      <c r="X100" s="94">
        <f>IF(A100="00-175",S100*0.06,0)</f>
        <v>0</v>
      </c>
      <c r="Y100" s="94">
        <v>0</v>
      </c>
      <c r="Z100" s="94"/>
      <c r="AA100" s="94">
        <f>+S100+T100+U100+W100+X100</f>
        <v>0</v>
      </c>
      <c r="AB100" s="10"/>
      <c r="AC100" s="94"/>
      <c r="AD100" s="10"/>
      <c r="AE100" s="94"/>
      <c r="AF100" s="10"/>
      <c r="AG100" s="94"/>
      <c r="AH100" s="94"/>
      <c r="AI100" s="94">
        <f t="shared" si="39"/>
        <v>0</v>
      </c>
      <c r="AJ100" s="94">
        <f t="shared" si="40"/>
        <v>0</v>
      </c>
      <c r="AK100" s="90" t="str">
        <f t="shared" si="41"/>
        <v>N/A</v>
      </c>
    </row>
    <row r="101" spans="1:37" ht="15" customHeight="1" x14ac:dyDescent="0.35">
      <c r="A101" s="10" t="s">
        <v>37</v>
      </c>
      <c r="B101" s="10" t="s">
        <v>38</v>
      </c>
      <c r="C101" s="10" t="s">
        <v>39</v>
      </c>
      <c r="D101" s="89">
        <v>0</v>
      </c>
      <c r="E101" s="89">
        <v>33</v>
      </c>
      <c r="F101" s="89" t="s">
        <v>40</v>
      </c>
      <c r="G101" s="89" t="s">
        <v>41</v>
      </c>
      <c r="H101" s="92">
        <v>46054</v>
      </c>
      <c r="I101" s="103">
        <v>18813.150000000001</v>
      </c>
      <c r="J101" s="94">
        <v>206944.17</v>
      </c>
      <c r="K101" s="94">
        <f>+J101-I101</f>
        <v>188131.02000000002</v>
      </c>
      <c r="L101" s="89" t="s">
        <v>42</v>
      </c>
      <c r="M101" s="10" t="s">
        <v>43</v>
      </c>
      <c r="N101" s="11">
        <v>2027</v>
      </c>
      <c r="O101" s="12">
        <v>46157</v>
      </c>
      <c r="P101" s="10" t="s">
        <v>197</v>
      </c>
      <c r="Q101" s="7" t="s">
        <v>194</v>
      </c>
      <c r="R101" s="10">
        <v>209</v>
      </c>
      <c r="S101" s="94">
        <v>0</v>
      </c>
      <c r="T101" s="94">
        <v>0</v>
      </c>
      <c r="U101" s="94">
        <v>0</v>
      </c>
      <c r="V101" s="94">
        <v>0</v>
      </c>
      <c r="W101" s="94">
        <v>0</v>
      </c>
      <c r="X101" s="94">
        <v>0</v>
      </c>
      <c r="Y101" s="94">
        <v>0</v>
      </c>
      <c r="Z101" s="94">
        <v>0</v>
      </c>
      <c r="AA101" s="94">
        <f t="shared" ref="AA101:AA110" si="42">+S101+T101+U101+W101+X101+V101+Y101</f>
        <v>0</v>
      </c>
      <c r="AB101" s="10"/>
      <c r="AC101" s="94"/>
      <c r="AD101" s="10"/>
      <c r="AE101" s="94"/>
      <c r="AF101" s="10"/>
      <c r="AG101" s="94"/>
      <c r="AH101" s="94"/>
      <c r="AI101" s="94">
        <f t="shared" si="39"/>
        <v>0</v>
      </c>
      <c r="AJ101" s="94">
        <f t="shared" si="40"/>
        <v>0</v>
      </c>
      <c r="AK101" s="90" t="str">
        <f t="shared" si="41"/>
        <v>N/A</v>
      </c>
    </row>
    <row r="102" spans="1:37" ht="15" customHeight="1" x14ac:dyDescent="0.35">
      <c r="A102" s="10" t="s">
        <v>37</v>
      </c>
      <c r="B102" s="10" t="s">
        <v>38</v>
      </c>
      <c r="C102" s="10" t="s">
        <v>39</v>
      </c>
      <c r="D102" s="89">
        <v>0</v>
      </c>
      <c r="E102" s="89">
        <v>33</v>
      </c>
      <c r="F102" s="89" t="s">
        <v>47</v>
      </c>
      <c r="G102" s="89" t="s">
        <v>48</v>
      </c>
      <c r="H102" s="92">
        <v>46054</v>
      </c>
      <c r="I102" s="103"/>
      <c r="J102" s="94">
        <v>6440924.0700000003</v>
      </c>
      <c r="K102" s="94">
        <v>6440924.0700000003</v>
      </c>
      <c r="L102" s="89" t="s">
        <v>42</v>
      </c>
      <c r="M102" s="10" t="s">
        <v>43</v>
      </c>
      <c r="N102" s="11">
        <v>2028</v>
      </c>
      <c r="O102" s="12">
        <v>46157</v>
      </c>
      <c r="P102" s="10" t="s">
        <v>198</v>
      </c>
      <c r="Q102" s="10" t="s">
        <v>45</v>
      </c>
      <c r="R102" s="10" t="s">
        <v>46</v>
      </c>
      <c r="S102" s="94">
        <v>6440924.0700000003</v>
      </c>
      <c r="T102" s="94">
        <v>0</v>
      </c>
      <c r="U102" s="94">
        <v>0</v>
      </c>
      <c r="V102" s="94">
        <v>0</v>
      </c>
      <c r="W102" s="94">
        <v>0</v>
      </c>
      <c r="X102" s="94">
        <v>0</v>
      </c>
      <c r="Y102" s="94">
        <v>0</v>
      </c>
      <c r="Z102" s="94">
        <v>0</v>
      </c>
      <c r="AA102" s="94">
        <f t="shared" si="42"/>
        <v>6440924.0700000003</v>
      </c>
      <c r="AB102" s="10"/>
      <c r="AC102" s="94"/>
      <c r="AD102" s="10"/>
      <c r="AE102" s="94"/>
      <c r="AF102" s="10"/>
      <c r="AG102" s="94"/>
      <c r="AH102" s="94"/>
      <c r="AI102" s="94">
        <f t="shared" si="39"/>
        <v>0</v>
      </c>
      <c r="AJ102" s="94">
        <f t="shared" si="40"/>
        <v>6440924.0700000003</v>
      </c>
      <c r="AK102" s="90" t="str">
        <f t="shared" si="41"/>
        <v>Pendiente</v>
      </c>
    </row>
    <row r="103" spans="1:37" ht="15" hidden="1" customHeight="1" x14ac:dyDescent="0.35">
      <c r="A103" s="32" t="s">
        <v>115</v>
      </c>
      <c r="B103" s="14" t="s">
        <v>80</v>
      </c>
      <c r="C103" s="32" t="s">
        <v>116</v>
      </c>
      <c r="D103" s="32" t="s">
        <v>116</v>
      </c>
      <c r="E103" s="89">
        <v>4</v>
      </c>
      <c r="F103" s="89" t="s">
        <v>40</v>
      </c>
      <c r="G103" s="89" t="s">
        <v>41</v>
      </c>
      <c r="H103" s="92">
        <v>46054</v>
      </c>
      <c r="I103" s="103"/>
      <c r="J103" s="94">
        <v>4574310.5199999996</v>
      </c>
      <c r="K103" s="94">
        <v>4574310.5199999996</v>
      </c>
      <c r="L103" s="89" t="s">
        <v>42</v>
      </c>
      <c r="M103" s="32" t="s">
        <v>64</v>
      </c>
      <c r="N103" s="33">
        <v>2590</v>
      </c>
      <c r="O103" s="12">
        <v>46108</v>
      </c>
      <c r="P103" s="32" t="s">
        <v>199</v>
      </c>
      <c r="Q103" s="17" t="s">
        <v>45</v>
      </c>
      <c r="R103" s="17" t="s">
        <v>46</v>
      </c>
      <c r="S103" s="94">
        <f t="shared" ref="S103:S110" si="43">+J103</f>
        <v>4574310.5199999996</v>
      </c>
      <c r="T103" s="94"/>
      <c r="U103" s="94">
        <f t="shared" ref="U103:U110" si="44">+S103*21%</f>
        <v>960605.20919999992</v>
      </c>
      <c r="V103" s="94">
        <f t="shared" ref="V103:V110" si="45">+S103*3%</f>
        <v>137229.31559999997</v>
      </c>
      <c r="W103" s="94">
        <f>+S103*2.5%</f>
        <v>114357.76299999999</v>
      </c>
      <c r="X103" s="94">
        <f t="shared" ref="X103:X108" si="46">IF(A103="00-175",S103*0.06,0)</f>
        <v>0</v>
      </c>
      <c r="Y103" s="94"/>
      <c r="Z103" s="94"/>
      <c r="AA103" s="94">
        <f t="shared" si="42"/>
        <v>5786502.8078000005</v>
      </c>
      <c r="AB103" s="26">
        <v>46121</v>
      </c>
      <c r="AC103" s="94">
        <v>5786502.8078000005</v>
      </c>
      <c r="AD103" s="98"/>
      <c r="AE103" s="94"/>
      <c r="AF103" s="32"/>
      <c r="AG103" s="94"/>
      <c r="AH103" s="94"/>
      <c r="AI103" s="94">
        <f t="shared" si="39"/>
        <v>5786502.8078000005</v>
      </c>
      <c r="AJ103" s="94">
        <f t="shared" si="40"/>
        <v>0</v>
      </c>
      <c r="AK103" s="90">
        <f t="shared" si="41"/>
        <v>13</v>
      </c>
    </row>
    <row r="104" spans="1:37" ht="15" hidden="1" customHeight="1" x14ac:dyDescent="0.35">
      <c r="A104" s="32" t="s">
        <v>115</v>
      </c>
      <c r="B104" s="14" t="s">
        <v>80</v>
      </c>
      <c r="C104" s="32" t="s">
        <v>116</v>
      </c>
      <c r="D104" s="32" t="s">
        <v>116</v>
      </c>
      <c r="E104" s="89">
        <v>4</v>
      </c>
      <c r="F104" s="89" t="s">
        <v>71</v>
      </c>
      <c r="G104" s="89" t="s">
        <v>48</v>
      </c>
      <c r="H104" s="92">
        <v>46054</v>
      </c>
      <c r="I104" s="103"/>
      <c r="J104" s="94">
        <v>3243706.3</v>
      </c>
      <c r="K104" s="94">
        <v>3243706.3</v>
      </c>
      <c r="L104" s="89" t="s">
        <v>42</v>
      </c>
      <c r="M104" s="32" t="s">
        <v>64</v>
      </c>
      <c r="N104" s="33">
        <v>2591</v>
      </c>
      <c r="O104" s="12">
        <v>46108</v>
      </c>
      <c r="P104" s="32" t="s">
        <v>200</v>
      </c>
      <c r="Q104" s="17" t="s">
        <v>45</v>
      </c>
      <c r="R104" s="17" t="s">
        <v>46</v>
      </c>
      <c r="S104" s="94">
        <f t="shared" si="43"/>
        <v>3243706.3</v>
      </c>
      <c r="T104" s="94"/>
      <c r="U104" s="94">
        <f t="shared" si="44"/>
        <v>681178.32299999997</v>
      </c>
      <c r="V104" s="94">
        <f t="shared" si="45"/>
        <v>97311.188999999984</v>
      </c>
      <c r="W104" s="94">
        <f>+S104*2.5%</f>
        <v>81092.657500000001</v>
      </c>
      <c r="X104" s="94">
        <f t="shared" si="46"/>
        <v>0</v>
      </c>
      <c r="Y104" s="94"/>
      <c r="Z104" s="94"/>
      <c r="AA104" s="94">
        <f t="shared" si="42"/>
        <v>4103288.4694999997</v>
      </c>
      <c r="AB104" s="26">
        <v>46121</v>
      </c>
      <c r="AC104" s="94">
        <v>4103288.4694999997</v>
      </c>
      <c r="AD104" s="98"/>
      <c r="AE104" s="94"/>
      <c r="AF104" s="32"/>
      <c r="AG104" s="94"/>
      <c r="AH104" s="94"/>
      <c r="AI104" s="94">
        <f t="shared" si="39"/>
        <v>4103288.4694999997</v>
      </c>
      <c r="AJ104" s="94">
        <f t="shared" si="40"/>
        <v>0</v>
      </c>
      <c r="AK104" s="90">
        <f t="shared" si="41"/>
        <v>13</v>
      </c>
    </row>
    <row r="105" spans="1:37" ht="15" hidden="1" customHeight="1" x14ac:dyDescent="0.35">
      <c r="A105" s="27" t="s">
        <v>85</v>
      </c>
      <c r="B105" s="14" t="s">
        <v>80</v>
      </c>
      <c r="C105" s="27" t="s">
        <v>86</v>
      </c>
      <c r="D105" s="89" t="s">
        <v>120</v>
      </c>
      <c r="E105" s="89">
        <v>6</v>
      </c>
      <c r="F105" s="89" t="s">
        <v>121</v>
      </c>
      <c r="G105" s="89" t="s">
        <v>48</v>
      </c>
      <c r="H105" s="92">
        <v>46054</v>
      </c>
      <c r="I105" s="103"/>
      <c r="J105" s="94">
        <v>20970962.16</v>
      </c>
      <c r="K105" s="94">
        <v>20970962.16</v>
      </c>
      <c r="L105" s="89" t="s">
        <v>42</v>
      </c>
      <c r="M105" s="27" t="s">
        <v>64</v>
      </c>
      <c r="N105" s="33">
        <v>2598</v>
      </c>
      <c r="O105" s="12">
        <v>46132</v>
      </c>
      <c r="P105" s="27" t="s">
        <v>201</v>
      </c>
      <c r="Q105" s="17" t="s">
        <v>45</v>
      </c>
      <c r="R105" s="17" t="s">
        <v>46</v>
      </c>
      <c r="S105" s="94">
        <f t="shared" si="43"/>
        <v>20970962.16</v>
      </c>
      <c r="T105" s="94"/>
      <c r="U105" s="94">
        <f t="shared" si="44"/>
        <v>4403902.0536000002</v>
      </c>
      <c r="V105" s="94">
        <f t="shared" si="45"/>
        <v>629128.86479999998</v>
      </c>
      <c r="W105" s="94">
        <f>+S105*2.5%</f>
        <v>524274.054</v>
      </c>
      <c r="X105" s="94">
        <f t="shared" si="46"/>
        <v>0</v>
      </c>
      <c r="Y105" s="94"/>
      <c r="Z105" s="94"/>
      <c r="AA105" s="94">
        <f t="shared" si="42"/>
        <v>26528267.132400002</v>
      </c>
      <c r="AB105" s="29">
        <v>46141</v>
      </c>
      <c r="AC105" s="94">
        <v>26528267.120000001</v>
      </c>
      <c r="AD105" s="98"/>
      <c r="AE105" s="94"/>
      <c r="AF105" s="27"/>
      <c r="AG105" s="94"/>
      <c r="AH105" s="94"/>
      <c r="AI105" s="94">
        <f t="shared" si="39"/>
        <v>26528267.120000001</v>
      </c>
      <c r="AJ105" s="94">
        <f t="shared" si="40"/>
        <v>1.2400001287460327E-2</v>
      </c>
      <c r="AK105" s="90">
        <f t="shared" si="41"/>
        <v>9</v>
      </c>
    </row>
    <row r="106" spans="1:37" ht="15" hidden="1" customHeight="1" x14ac:dyDescent="0.35">
      <c r="A106" s="10" t="s">
        <v>66</v>
      </c>
      <c r="B106" s="10" t="s">
        <v>61</v>
      </c>
      <c r="C106" s="10" t="s">
        <v>67</v>
      </c>
      <c r="D106" s="89" t="s">
        <v>68</v>
      </c>
      <c r="E106" s="89">
        <v>9</v>
      </c>
      <c r="F106" s="89" t="s">
        <v>40</v>
      </c>
      <c r="G106" s="89" t="s">
        <v>41</v>
      </c>
      <c r="H106" s="92">
        <v>46054</v>
      </c>
      <c r="I106" s="103"/>
      <c r="J106" s="94">
        <v>1938001.14</v>
      </c>
      <c r="K106" s="94">
        <v>1938001.14</v>
      </c>
      <c r="L106" s="89" t="s">
        <v>42</v>
      </c>
      <c r="M106" s="10" t="s">
        <v>64</v>
      </c>
      <c r="N106" s="11">
        <v>2600</v>
      </c>
      <c r="O106" s="12">
        <v>46132</v>
      </c>
      <c r="P106" s="10" t="s">
        <v>202</v>
      </c>
      <c r="Q106" s="10" t="s">
        <v>45</v>
      </c>
      <c r="R106" s="10" t="s">
        <v>46</v>
      </c>
      <c r="S106" s="94">
        <f t="shared" si="43"/>
        <v>1938001.14</v>
      </c>
      <c r="T106" s="94"/>
      <c r="U106" s="94">
        <f t="shared" si="44"/>
        <v>406980.23939999996</v>
      </c>
      <c r="V106" s="94">
        <f t="shared" si="45"/>
        <v>58140.034199999995</v>
      </c>
      <c r="W106" s="94">
        <f>+S106*0.3%</f>
        <v>5814.00342</v>
      </c>
      <c r="X106" s="94">
        <f t="shared" si="46"/>
        <v>116280.06839999999</v>
      </c>
      <c r="Y106" s="94"/>
      <c r="Z106" s="94"/>
      <c r="AA106" s="94">
        <f t="shared" si="42"/>
        <v>2525215.4854200003</v>
      </c>
      <c r="AB106" s="29">
        <v>46141</v>
      </c>
      <c r="AC106" s="94">
        <v>2525215.48</v>
      </c>
      <c r="AD106" s="10"/>
      <c r="AE106" s="94"/>
      <c r="AF106" s="10"/>
      <c r="AG106" s="94"/>
      <c r="AH106" s="94"/>
      <c r="AI106" s="94">
        <f t="shared" si="39"/>
        <v>2525215.48</v>
      </c>
      <c r="AJ106" s="94">
        <f t="shared" si="40"/>
        <v>5.4200002923607826E-3</v>
      </c>
      <c r="AK106" s="90">
        <f t="shared" si="41"/>
        <v>9</v>
      </c>
    </row>
    <row r="107" spans="1:37" ht="15" hidden="1" customHeight="1" x14ac:dyDescent="0.35">
      <c r="A107" s="10" t="s">
        <v>66</v>
      </c>
      <c r="B107" s="10" t="s">
        <v>61</v>
      </c>
      <c r="C107" s="10" t="s">
        <v>67</v>
      </c>
      <c r="D107" s="89" t="s">
        <v>68</v>
      </c>
      <c r="E107" s="89">
        <v>9</v>
      </c>
      <c r="F107" s="89" t="s">
        <v>71</v>
      </c>
      <c r="G107" s="89" t="s">
        <v>48</v>
      </c>
      <c r="H107" s="92">
        <v>46054</v>
      </c>
      <c r="I107" s="103"/>
      <c r="J107" s="94">
        <v>3529738.54</v>
      </c>
      <c r="K107" s="94">
        <v>3529738.54</v>
      </c>
      <c r="L107" s="89" t="s">
        <v>42</v>
      </c>
      <c r="M107" s="10" t="s">
        <v>64</v>
      </c>
      <c r="N107" s="11">
        <v>2601</v>
      </c>
      <c r="O107" s="12">
        <v>46132</v>
      </c>
      <c r="P107" s="10" t="s">
        <v>203</v>
      </c>
      <c r="Q107" s="10" t="s">
        <v>45</v>
      </c>
      <c r="R107" s="10" t="s">
        <v>46</v>
      </c>
      <c r="S107" s="94">
        <f t="shared" si="43"/>
        <v>3529738.54</v>
      </c>
      <c r="T107" s="94"/>
      <c r="U107" s="94">
        <f t="shared" si="44"/>
        <v>741245.09340000001</v>
      </c>
      <c r="V107" s="94">
        <f t="shared" si="45"/>
        <v>105892.1562</v>
      </c>
      <c r="W107" s="94">
        <f>+S107*0.3%</f>
        <v>10589.215620000001</v>
      </c>
      <c r="X107" s="94">
        <f t="shared" si="46"/>
        <v>211784.3124</v>
      </c>
      <c r="Y107" s="94"/>
      <c r="Z107" s="94"/>
      <c r="AA107" s="94">
        <f t="shared" si="42"/>
        <v>4599249.3176199999</v>
      </c>
      <c r="AB107" s="29">
        <v>46141</v>
      </c>
      <c r="AC107" s="94">
        <v>4599249.32</v>
      </c>
      <c r="AD107" s="10"/>
      <c r="AE107" s="94"/>
      <c r="AF107" s="10"/>
      <c r="AG107" s="94"/>
      <c r="AH107" s="94"/>
      <c r="AI107" s="94">
        <f t="shared" si="39"/>
        <v>4599249.32</v>
      </c>
      <c r="AJ107" s="94">
        <f t="shared" si="40"/>
        <v>-2.380000427365303E-3</v>
      </c>
      <c r="AK107" s="90">
        <f t="shared" si="41"/>
        <v>9</v>
      </c>
    </row>
    <row r="108" spans="1:37" ht="15" hidden="1" customHeight="1" x14ac:dyDescent="0.35">
      <c r="A108" s="27" t="s">
        <v>85</v>
      </c>
      <c r="B108" s="14" t="s">
        <v>80</v>
      </c>
      <c r="C108" s="27" t="s">
        <v>86</v>
      </c>
      <c r="D108" s="89" t="s">
        <v>103</v>
      </c>
      <c r="E108" s="89">
        <v>6</v>
      </c>
      <c r="F108" s="89" t="s">
        <v>104</v>
      </c>
      <c r="G108" s="89" t="s">
        <v>41</v>
      </c>
      <c r="H108" s="92">
        <v>46054</v>
      </c>
      <c r="I108" s="103"/>
      <c r="J108" s="94">
        <v>29413596</v>
      </c>
      <c r="K108" s="94">
        <v>29413596</v>
      </c>
      <c r="L108" s="89" t="s">
        <v>42</v>
      </c>
      <c r="M108" s="27" t="s">
        <v>64</v>
      </c>
      <c r="N108" s="33">
        <v>2605</v>
      </c>
      <c r="O108" s="12">
        <v>46133</v>
      </c>
      <c r="P108" s="27" t="s">
        <v>204</v>
      </c>
      <c r="Q108" s="17" t="s">
        <v>45</v>
      </c>
      <c r="R108" s="17" t="s">
        <v>46</v>
      </c>
      <c r="S108" s="94">
        <f t="shared" si="43"/>
        <v>29413596</v>
      </c>
      <c r="T108" s="94"/>
      <c r="U108" s="94">
        <f t="shared" si="44"/>
        <v>6176855.1600000001</v>
      </c>
      <c r="V108" s="94">
        <f t="shared" si="45"/>
        <v>882407.88</v>
      </c>
      <c r="W108" s="94">
        <f>+S108*2.5%</f>
        <v>735339.9</v>
      </c>
      <c r="X108" s="94">
        <f t="shared" si="46"/>
        <v>0</v>
      </c>
      <c r="Y108" s="94"/>
      <c r="Z108" s="94"/>
      <c r="AA108" s="94">
        <f t="shared" si="42"/>
        <v>37208198.939999998</v>
      </c>
      <c r="AB108" s="29">
        <v>46162</v>
      </c>
      <c r="AC108" s="94">
        <v>37208198.939999998</v>
      </c>
      <c r="AD108" s="98"/>
      <c r="AE108" s="94"/>
      <c r="AF108" s="27"/>
      <c r="AG108" s="94"/>
      <c r="AH108" s="94"/>
      <c r="AI108" s="94">
        <f t="shared" si="39"/>
        <v>37208198.939999998</v>
      </c>
      <c r="AJ108" s="94">
        <f t="shared" si="40"/>
        <v>0</v>
      </c>
      <c r="AK108" s="90">
        <f t="shared" si="41"/>
        <v>29</v>
      </c>
    </row>
    <row r="109" spans="1:37" ht="15" hidden="1" customHeight="1" x14ac:dyDescent="0.35">
      <c r="A109" s="10" t="s">
        <v>79</v>
      </c>
      <c r="B109" s="14" t="s">
        <v>80</v>
      </c>
      <c r="C109" s="10" t="s">
        <v>81</v>
      </c>
      <c r="D109" s="89" t="s">
        <v>82</v>
      </c>
      <c r="E109" s="89">
        <v>9</v>
      </c>
      <c r="F109" s="89" t="s">
        <v>83</v>
      </c>
      <c r="G109" s="89" t="s">
        <v>41</v>
      </c>
      <c r="H109" s="92">
        <v>46054</v>
      </c>
      <c r="I109" s="103"/>
      <c r="J109" s="94">
        <v>16007002.539999999</v>
      </c>
      <c r="K109" s="94">
        <v>16007002.539999999</v>
      </c>
      <c r="L109" s="89" t="s">
        <v>42</v>
      </c>
      <c r="M109" s="10" t="s">
        <v>64</v>
      </c>
      <c r="N109" s="11">
        <v>2606</v>
      </c>
      <c r="O109" s="12">
        <v>46133</v>
      </c>
      <c r="P109" s="10" t="s">
        <v>205</v>
      </c>
      <c r="Q109" s="10" t="s">
        <v>45</v>
      </c>
      <c r="R109" s="10" t="s">
        <v>46</v>
      </c>
      <c r="S109" s="94">
        <f t="shared" si="43"/>
        <v>16007002.539999999</v>
      </c>
      <c r="T109" s="94"/>
      <c r="U109" s="94">
        <f t="shared" si="44"/>
        <v>3361470.5333999996</v>
      </c>
      <c r="V109" s="94">
        <f t="shared" si="45"/>
        <v>480210.07619999995</v>
      </c>
      <c r="W109" s="94">
        <f>+S109*2.5%</f>
        <v>400175.06349999999</v>
      </c>
      <c r="X109" s="94"/>
      <c r="Y109" s="94"/>
      <c r="Z109" s="94"/>
      <c r="AA109" s="94">
        <f t="shared" si="42"/>
        <v>20248858.213099997</v>
      </c>
      <c r="AB109" s="29">
        <v>46162</v>
      </c>
      <c r="AC109" s="94">
        <v>20248858.210000001</v>
      </c>
      <c r="AD109" s="10"/>
      <c r="AE109" s="94"/>
      <c r="AF109" s="10"/>
      <c r="AG109" s="94"/>
      <c r="AH109" s="94"/>
      <c r="AI109" s="94">
        <f t="shared" si="39"/>
        <v>20248858.210000001</v>
      </c>
      <c r="AJ109" s="94">
        <f t="shared" si="40"/>
        <v>3.0999965965747833E-3</v>
      </c>
      <c r="AK109" s="90">
        <f t="shared" si="41"/>
        <v>29</v>
      </c>
    </row>
    <row r="110" spans="1:37" ht="15" hidden="1" customHeight="1" x14ac:dyDescent="0.35">
      <c r="A110" s="10" t="s">
        <v>79</v>
      </c>
      <c r="B110" s="14" t="s">
        <v>80</v>
      </c>
      <c r="C110" s="10" t="s">
        <v>81</v>
      </c>
      <c r="D110" s="89" t="s">
        <v>185</v>
      </c>
      <c r="E110" s="89">
        <v>3</v>
      </c>
      <c r="F110" s="89" t="s">
        <v>206</v>
      </c>
      <c r="G110" s="89" t="s">
        <v>41</v>
      </c>
      <c r="H110" s="92">
        <v>46054</v>
      </c>
      <c r="I110" s="103"/>
      <c r="J110" s="94">
        <v>5139223.49</v>
      </c>
      <c r="K110" s="94">
        <v>5139223.49</v>
      </c>
      <c r="L110" s="89" t="s">
        <v>42</v>
      </c>
      <c r="M110" s="10" t="s">
        <v>64</v>
      </c>
      <c r="N110" s="33">
        <v>2610</v>
      </c>
      <c r="O110" s="12">
        <v>46135</v>
      </c>
      <c r="P110" s="10" t="s">
        <v>207</v>
      </c>
      <c r="Q110" s="10" t="s">
        <v>45</v>
      </c>
      <c r="R110" s="10" t="s">
        <v>46</v>
      </c>
      <c r="S110" s="94">
        <f t="shared" si="43"/>
        <v>5139223.49</v>
      </c>
      <c r="T110" s="94"/>
      <c r="U110" s="94">
        <f t="shared" si="44"/>
        <v>1079236.9328999999</v>
      </c>
      <c r="V110" s="94">
        <f t="shared" si="45"/>
        <v>154176.7047</v>
      </c>
      <c r="W110" s="94">
        <f>+S110*2.5%</f>
        <v>128480.58725000001</v>
      </c>
      <c r="X110" s="94"/>
      <c r="Y110" s="94"/>
      <c r="Z110" s="94"/>
      <c r="AA110" s="94">
        <f t="shared" si="42"/>
        <v>6501117.7148500001</v>
      </c>
      <c r="AB110" s="29">
        <v>46162</v>
      </c>
      <c r="AC110" s="94">
        <v>6501117.71</v>
      </c>
      <c r="AD110" s="10"/>
      <c r="AE110" s="94"/>
      <c r="AF110" s="10"/>
      <c r="AG110" s="94"/>
      <c r="AH110" s="94"/>
      <c r="AI110" s="94">
        <f t="shared" si="39"/>
        <v>6501117.71</v>
      </c>
      <c r="AJ110" s="94">
        <f t="shared" si="40"/>
        <v>4.8500001430511475E-3</v>
      </c>
      <c r="AK110" s="90">
        <f t="shared" si="41"/>
        <v>27</v>
      </c>
    </row>
    <row r="111" spans="1:37" ht="15" hidden="1" customHeight="1" x14ac:dyDescent="0.35">
      <c r="A111" s="10" t="s">
        <v>130</v>
      </c>
      <c r="B111" s="14" t="s">
        <v>131</v>
      </c>
      <c r="C111" s="10" t="s">
        <v>132</v>
      </c>
      <c r="D111" s="89" t="s">
        <v>133</v>
      </c>
      <c r="E111" s="89">
        <v>3</v>
      </c>
      <c r="F111" s="89" t="s">
        <v>208</v>
      </c>
      <c r="G111" s="89" t="s">
        <v>41</v>
      </c>
      <c r="H111" s="92">
        <v>46054</v>
      </c>
      <c r="I111" s="94">
        <v>809235480.83000004</v>
      </c>
      <c r="J111" s="94">
        <v>809235480.83000004</v>
      </c>
      <c r="K111" s="94">
        <v>0</v>
      </c>
      <c r="L111" s="89" t="s">
        <v>42</v>
      </c>
      <c r="M111" s="10" t="s">
        <v>64</v>
      </c>
      <c r="N111" s="33">
        <v>2618</v>
      </c>
      <c r="O111" s="12">
        <v>46162</v>
      </c>
      <c r="P111" s="10" t="s">
        <v>209</v>
      </c>
      <c r="Q111" s="10" t="s">
        <v>45</v>
      </c>
      <c r="R111" s="10" t="s">
        <v>46</v>
      </c>
      <c r="S111" s="94">
        <v>809235480.83000004</v>
      </c>
      <c r="T111" s="94">
        <v>84969725.489999995</v>
      </c>
      <c r="U111" s="94">
        <v>0</v>
      </c>
      <c r="V111" s="94">
        <v>0</v>
      </c>
      <c r="W111" s="94">
        <v>24277064.420000002</v>
      </c>
      <c r="X111" s="94">
        <v>28323241.829999998</v>
      </c>
      <c r="Y111" s="94">
        <v>0</v>
      </c>
      <c r="Z111" s="94">
        <v>12138532.210000001</v>
      </c>
      <c r="AA111" s="94">
        <v>958944044.77999997</v>
      </c>
      <c r="AB111" s="16">
        <v>46007</v>
      </c>
      <c r="AC111" s="94">
        <v>0</v>
      </c>
      <c r="AD111" s="10"/>
      <c r="AE111" s="94"/>
      <c r="AF111" s="10"/>
      <c r="AG111" s="94"/>
      <c r="AH111" s="94"/>
      <c r="AI111" s="94">
        <v>0</v>
      </c>
      <c r="AJ111" s="94">
        <v>0</v>
      </c>
      <c r="AK111" s="90" t="s">
        <v>46</v>
      </c>
    </row>
    <row r="112" spans="1:37" hidden="1" x14ac:dyDescent="0.35">
      <c r="A112" s="27" t="s">
        <v>130</v>
      </c>
      <c r="B112" s="27" t="s">
        <v>131</v>
      </c>
      <c r="C112" s="10" t="s">
        <v>132</v>
      </c>
      <c r="D112" s="89" t="s">
        <v>133</v>
      </c>
      <c r="E112" s="89">
        <v>3</v>
      </c>
      <c r="F112" s="89" t="s">
        <v>210</v>
      </c>
      <c r="G112" s="89" t="s">
        <v>48</v>
      </c>
      <c r="H112" s="92">
        <v>46054</v>
      </c>
      <c r="I112" s="94">
        <v>50219657.579999998</v>
      </c>
      <c r="J112" s="94">
        <v>50219657.579999998</v>
      </c>
      <c r="K112" s="94">
        <v>0</v>
      </c>
      <c r="L112" s="89" t="s">
        <v>42</v>
      </c>
      <c r="M112" s="27" t="s">
        <v>64</v>
      </c>
      <c r="N112" s="33">
        <v>2619</v>
      </c>
      <c r="O112" s="12">
        <v>46162</v>
      </c>
      <c r="P112" s="27" t="s">
        <v>211</v>
      </c>
      <c r="Q112" s="17" t="s">
        <v>45</v>
      </c>
      <c r="R112" s="17" t="s">
        <v>46</v>
      </c>
      <c r="S112" s="94">
        <v>50219657.579999998</v>
      </c>
      <c r="T112" s="94">
        <v>5273064.05</v>
      </c>
      <c r="U112" s="94">
        <v>0</v>
      </c>
      <c r="V112" s="94">
        <v>0</v>
      </c>
      <c r="W112" s="94">
        <v>1506589.73</v>
      </c>
      <c r="X112" s="94">
        <v>1757688.02</v>
      </c>
      <c r="Y112" s="94">
        <v>0</v>
      </c>
      <c r="Z112" s="94">
        <v>753294.86</v>
      </c>
      <c r="AA112" s="94">
        <v>59510294.240000002</v>
      </c>
      <c r="AB112" s="16">
        <v>46007</v>
      </c>
      <c r="AC112" s="94">
        <v>0</v>
      </c>
      <c r="AD112" s="98"/>
      <c r="AE112" s="94"/>
      <c r="AF112" s="27"/>
      <c r="AG112" s="94"/>
      <c r="AH112" s="94"/>
      <c r="AI112" s="94">
        <v>0</v>
      </c>
      <c r="AJ112" s="94">
        <v>0</v>
      </c>
      <c r="AK112" s="90" t="s">
        <v>46</v>
      </c>
    </row>
    <row r="113" spans="1:37" x14ac:dyDescent="0.35">
      <c r="A113" s="10" t="s">
        <v>37</v>
      </c>
      <c r="B113" s="10" t="s">
        <v>38</v>
      </c>
      <c r="C113" s="10" t="s">
        <v>39</v>
      </c>
      <c r="D113" s="89">
        <v>0</v>
      </c>
      <c r="E113" s="89">
        <v>34</v>
      </c>
      <c r="F113" s="89" t="s">
        <v>40</v>
      </c>
      <c r="G113" s="89" t="s">
        <v>41</v>
      </c>
      <c r="H113" s="92">
        <v>46082</v>
      </c>
      <c r="I113" s="103">
        <v>70336.004000000001</v>
      </c>
      <c r="J113" s="94">
        <v>703360.04</v>
      </c>
      <c r="K113" s="94">
        <f>+J113-I113</f>
        <v>633024.03600000008</v>
      </c>
      <c r="L113" s="89" t="s">
        <v>42</v>
      </c>
      <c r="M113" s="10" t="s">
        <v>43</v>
      </c>
      <c r="N113" s="11">
        <v>2018</v>
      </c>
      <c r="O113" s="12">
        <v>46122</v>
      </c>
      <c r="P113" s="10" t="s">
        <v>212</v>
      </c>
      <c r="Q113" s="7" t="s">
        <v>194</v>
      </c>
      <c r="R113" s="10">
        <v>208</v>
      </c>
      <c r="S113" s="94">
        <v>0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0</v>
      </c>
      <c r="AB113" s="10"/>
      <c r="AC113" s="94"/>
      <c r="AD113" s="10"/>
      <c r="AE113" s="94"/>
      <c r="AF113" s="10"/>
      <c r="AG113" s="94"/>
      <c r="AH113" s="94"/>
      <c r="AI113" s="94">
        <f t="shared" ref="AI113:AI126" si="47">+AC113+AE113+AG113+AH113</f>
        <v>0</v>
      </c>
      <c r="AJ113" s="94">
        <f t="shared" ref="AJ113:AJ126" si="48">+AA113-AI113</f>
        <v>0</v>
      </c>
      <c r="AK113" s="90" t="str">
        <f t="shared" si="41"/>
        <v>N/A</v>
      </c>
    </row>
    <row r="114" spans="1:37" ht="15" customHeight="1" x14ac:dyDescent="0.35">
      <c r="A114" s="10" t="s">
        <v>37</v>
      </c>
      <c r="B114" s="10" t="s">
        <v>38</v>
      </c>
      <c r="C114" s="10" t="s">
        <v>39</v>
      </c>
      <c r="D114" s="89">
        <v>0</v>
      </c>
      <c r="E114" s="89">
        <v>34</v>
      </c>
      <c r="F114" s="89" t="s">
        <v>195</v>
      </c>
      <c r="G114" s="89" t="s">
        <v>48</v>
      </c>
      <c r="H114" s="92">
        <v>46082</v>
      </c>
      <c r="I114" s="103"/>
      <c r="J114" s="94">
        <v>19702240.100000001</v>
      </c>
      <c r="K114" s="94">
        <v>19702240.100000001</v>
      </c>
      <c r="L114" s="89" t="s">
        <v>42</v>
      </c>
      <c r="M114" s="10" t="s">
        <v>43</v>
      </c>
      <c r="N114" s="11">
        <v>2019</v>
      </c>
      <c r="O114" s="12">
        <v>46122</v>
      </c>
      <c r="P114" s="10" t="s">
        <v>213</v>
      </c>
      <c r="Q114" s="7" t="s">
        <v>194</v>
      </c>
      <c r="R114" s="10">
        <v>207</v>
      </c>
      <c r="S114" s="94">
        <v>0</v>
      </c>
      <c r="T114" s="94"/>
      <c r="U114" s="94">
        <v>0</v>
      </c>
      <c r="V114" s="94">
        <v>0</v>
      </c>
      <c r="W114" s="94">
        <v>0</v>
      </c>
      <c r="X114" s="94">
        <f>IF(A114="00-175",S114*0.06,0)</f>
        <v>0</v>
      </c>
      <c r="Y114" s="94">
        <v>0</v>
      </c>
      <c r="Z114" s="94"/>
      <c r="AA114" s="94">
        <f>+S114+T114+U114+W114+X114</f>
        <v>0</v>
      </c>
      <c r="AB114" s="10"/>
      <c r="AC114" s="94"/>
      <c r="AD114" s="10"/>
      <c r="AE114" s="94"/>
      <c r="AF114" s="10"/>
      <c r="AG114" s="94"/>
      <c r="AH114" s="94"/>
      <c r="AI114" s="94">
        <f t="shared" si="47"/>
        <v>0</v>
      </c>
      <c r="AJ114" s="94">
        <f t="shared" si="48"/>
        <v>0</v>
      </c>
      <c r="AK114" s="90" t="str">
        <f t="shared" si="41"/>
        <v>N/A</v>
      </c>
    </row>
    <row r="115" spans="1:37" ht="15" customHeight="1" x14ac:dyDescent="0.35">
      <c r="A115" s="10" t="s">
        <v>37</v>
      </c>
      <c r="B115" s="10" t="s">
        <v>38</v>
      </c>
      <c r="C115" s="10" t="s">
        <v>39</v>
      </c>
      <c r="D115" s="89">
        <v>0</v>
      </c>
      <c r="E115" s="89">
        <v>33</v>
      </c>
      <c r="F115" s="89" t="s">
        <v>47</v>
      </c>
      <c r="G115" s="89" t="s">
        <v>48</v>
      </c>
      <c r="H115" s="92">
        <v>46082</v>
      </c>
      <c r="I115" s="103"/>
      <c r="J115" s="94">
        <v>95946.87</v>
      </c>
      <c r="K115" s="94">
        <v>95946.87</v>
      </c>
      <c r="L115" s="89" t="s">
        <v>42</v>
      </c>
      <c r="M115" s="10" t="s">
        <v>43</v>
      </c>
      <c r="N115" s="11">
        <v>2021</v>
      </c>
      <c r="O115" s="12">
        <v>46122</v>
      </c>
      <c r="P115" s="10" t="s">
        <v>214</v>
      </c>
      <c r="Q115" s="10" t="s">
        <v>45</v>
      </c>
      <c r="R115" s="10" t="s">
        <v>46</v>
      </c>
      <c r="S115" s="94">
        <f>+J115</f>
        <v>95946.87</v>
      </c>
      <c r="T115" s="94"/>
      <c r="U115" s="94">
        <v>0</v>
      </c>
      <c r="V115" s="94">
        <v>0</v>
      </c>
      <c r="W115" s="94">
        <v>0</v>
      </c>
      <c r="X115" s="94">
        <f>IF(A115="00-175",S115*0.06,0)</f>
        <v>0</v>
      </c>
      <c r="Y115" s="94">
        <v>0</v>
      </c>
      <c r="Z115" s="94"/>
      <c r="AA115" s="94">
        <f>+S115+T115+U115+W115+X115</f>
        <v>95946.87</v>
      </c>
      <c r="AB115" s="10"/>
      <c r="AC115" s="94"/>
      <c r="AD115" s="10"/>
      <c r="AE115" s="94"/>
      <c r="AF115" s="10"/>
      <c r="AG115" s="94"/>
      <c r="AH115" s="94"/>
      <c r="AI115" s="94">
        <f t="shared" si="47"/>
        <v>0</v>
      </c>
      <c r="AJ115" s="94">
        <f t="shared" si="48"/>
        <v>95946.87</v>
      </c>
      <c r="AK115" s="90" t="str">
        <f t="shared" si="41"/>
        <v>Pendiente</v>
      </c>
    </row>
    <row r="116" spans="1:37" ht="15" customHeight="1" x14ac:dyDescent="0.35">
      <c r="A116" s="10" t="s">
        <v>37</v>
      </c>
      <c r="B116" s="10" t="s">
        <v>38</v>
      </c>
      <c r="C116" s="10" t="s">
        <v>39</v>
      </c>
      <c r="D116" s="89">
        <v>0</v>
      </c>
      <c r="E116" s="89">
        <v>33</v>
      </c>
      <c r="F116" s="89" t="s">
        <v>40</v>
      </c>
      <c r="G116" s="89" t="s">
        <v>41</v>
      </c>
      <c r="H116" s="92">
        <v>46054</v>
      </c>
      <c r="I116" s="103">
        <v>18813.150000000001</v>
      </c>
      <c r="J116" s="94">
        <v>225757.32</v>
      </c>
      <c r="K116" s="94">
        <f>+J116-I116</f>
        <v>206944.17</v>
      </c>
      <c r="L116" s="89" t="s">
        <v>42</v>
      </c>
      <c r="M116" s="10" t="s">
        <v>43</v>
      </c>
      <c r="N116" s="11">
        <v>2031</v>
      </c>
      <c r="O116" s="12">
        <v>46122</v>
      </c>
      <c r="P116" s="10" t="s">
        <v>197</v>
      </c>
      <c r="Q116" s="10" t="s">
        <v>45</v>
      </c>
      <c r="R116" s="10" t="s">
        <v>46</v>
      </c>
      <c r="S116" s="94">
        <f>+K116</f>
        <v>206944.17</v>
      </c>
      <c r="T116" s="94"/>
      <c r="U116" s="94">
        <v>0</v>
      </c>
      <c r="V116" s="94">
        <v>0</v>
      </c>
      <c r="W116" s="94">
        <v>0</v>
      </c>
      <c r="X116" s="94">
        <f>IF(A116="00-175",S116*0.06,0)</f>
        <v>0</v>
      </c>
      <c r="Y116" s="94">
        <v>0</v>
      </c>
      <c r="Z116" s="94"/>
      <c r="AA116" s="94">
        <f>+S116+T116+U116+W116+X116</f>
        <v>206944.17</v>
      </c>
      <c r="AB116" s="10"/>
      <c r="AC116" s="94"/>
      <c r="AD116" s="10"/>
      <c r="AE116" s="94"/>
      <c r="AF116" s="10"/>
      <c r="AG116" s="94"/>
      <c r="AH116" s="94"/>
      <c r="AI116" s="94">
        <f t="shared" ref="AI116" si="49">+AC116+AE116+AG116+AH116</f>
        <v>0</v>
      </c>
      <c r="AJ116" s="94">
        <f t="shared" ref="AJ116" si="50">+AA116-AI116</f>
        <v>206944.17</v>
      </c>
      <c r="AK116" s="90" t="str">
        <f t="shared" ref="AK116" si="51">IF(Q116="ANULADA","N/A",IF(ABS(AJ116)&gt;10,"Pendiente",IF(MAX(AB116,AD116,AF116)=0,"Pendiente",MAX(0,MAX(AB116,AD116,AF116)-O116))))</f>
        <v>Pendiente</v>
      </c>
    </row>
    <row r="117" spans="1:37" ht="15" customHeight="1" x14ac:dyDescent="0.35">
      <c r="A117" s="10" t="s">
        <v>37</v>
      </c>
      <c r="B117" s="10" t="s">
        <v>38</v>
      </c>
      <c r="C117" s="10" t="s">
        <v>39</v>
      </c>
      <c r="D117" s="89">
        <v>0</v>
      </c>
      <c r="E117" s="89">
        <v>34</v>
      </c>
      <c r="F117" s="89" t="s">
        <v>40</v>
      </c>
      <c r="G117" s="89" t="s">
        <v>41</v>
      </c>
      <c r="H117" s="92">
        <v>46082</v>
      </c>
      <c r="I117" s="103"/>
      <c r="J117" s="94">
        <v>644746.57999999996</v>
      </c>
      <c r="K117" s="94">
        <v>644746.57999999996</v>
      </c>
      <c r="L117" s="89" t="s">
        <v>42</v>
      </c>
      <c r="M117" s="10" t="s">
        <v>43</v>
      </c>
      <c r="N117" s="11">
        <v>2029</v>
      </c>
      <c r="O117" s="12">
        <v>46157</v>
      </c>
      <c r="P117" s="10" t="s">
        <v>215</v>
      </c>
      <c r="Q117" s="10" t="s">
        <v>45</v>
      </c>
      <c r="R117" s="10" t="s">
        <v>46</v>
      </c>
      <c r="S117" s="94">
        <v>644746.57999999996</v>
      </c>
      <c r="T117" s="94">
        <v>0</v>
      </c>
      <c r="U117" s="94">
        <v>0</v>
      </c>
      <c r="V117" s="94">
        <v>0</v>
      </c>
      <c r="W117" s="94">
        <v>0</v>
      </c>
      <c r="X117" s="94">
        <v>0</v>
      </c>
      <c r="Y117" s="94">
        <v>0</v>
      </c>
      <c r="Z117" s="94">
        <v>0</v>
      </c>
      <c r="AA117" s="94">
        <f t="shared" ref="AA117:AA126" si="52">+S117+T117+U117+W117+X117+V117+Y117</f>
        <v>644746.57999999996</v>
      </c>
      <c r="AB117" s="10"/>
      <c r="AC117" s="94"/>
      <c r="AD117" s="10"/>
      <c r="AE117" s="94"/>
      <c r="AF117" s="10"/>
      <c r="AG117" s="94"/>
      <c r="AH117" s="94"/>
      <c r="AI117" s="94">
        <f t="shared" si="47"/>
        <v>0</v>
      </c>
      <c r="AJ117" s="94">
        <f t="shared" si="48"/>
        <v>644746.57999999996</v>
      </c>
      <c r="AK117" s="90" t="str">
        <f t="shared" si="41"/>
        <v>Pendiente</v>
      </c>
    </row>
    <row r="118" spans="1:37" ht="15" customHeight="1" x14ac:dyDescent="0.35">
      <c r="A118" s="10" t="s">
        <v>37</v>
      </c>
      <c r="B118" s="10" t="s">
        <v>38</v>
      </c>
      <c r="C118" s="10" t="s">
        <v>39</v>
      </c>
      <c r="D118" s="89">
        <v>0</v>
      </c>
      <c r="E118" s="89">
        <v>34</v>
      </c>
      <c r="F118" s="89" t="s">
        <v>47</v>
      </c>
      <c r="G118" s="89" t="s">
        <v>48</v>
      </c>
      <c r="H118" s="92">
        <v>46082</v>
      </c>
      <c r="I118" s="103"/>
      <c r="J118" s="94">
        <v>20536636.109999999</v>
      </c>
      <c r="K118" s="94">
        <v>20536636.109999999</v>
      </c>
      <c r="L118" s="89" t="s">
        <v>42</v>
      </c>
      <c r="M118" s="10" t="s">
        <v>43</v>
      </c>
      <c r="N118" s="11">
        <v>2030</v>
      </c>
      <c r="O118" s="12">
        <v>46157</v>
      </c>
      <c r="P118" s="10" t="s">
        <v>216</v>
      </c>
      <c r="Q118" s="7" t="s">
        <v>45</v>
      </c>
      <c r="R118" s="10" t="s">
        <v>46</v>
      </c>
      <c r="S118" s="94">
        <v>20536636.109999999</v>
      </c>
      <c r="T118" s="94">
        <v>0</v>
      </c>
      <c r="U118" s="94">
        <v>0</v>
      </c>
      <c r="V118" s="94">
        <v>0</v>
      </c>
      <c r="W118" s="94">
        <v>0</v>
      </c>
      <c r="X118" s="94">
        <v>0</v>
      </c>
      <c r="Y118" s="94">
        <v>0</v>
      </c>
      <c r="Z118" s="94">
        <v>0</v>
      </c>
      <c r="AA118" s="94">
        <f t="shared" si="52"/>
        <v>20536636.109999999</v>
      </c>
      <c r="AB118" s="10"/>
      <c r="AC118" s="94"/>
      <c r="AD118" s="10"/>
      <c r="AE118" s="94"/>
      <c r="AF118" s="10"/>
      <c r="AG118" s="94"/>
      <c r="AH118" s="94"/>
      <c r="AI118" s="94">
        <f t="shared" si="47"/>
        <v>0</v>
      </c>
      <c r="AJ118" s="94">
        <f t="shared" si="48"/>
        <v>20536636.109999999</v>
      </c>
      <c r="AK118" s="90" t="str">
        <f t="shared" si="41"/>
        <v>Pendiente</v>
      </c>
    </row>
    <row r="119" spans="1:37" ht="15" hidden="1" customHeight="1" x14ac:dyDescent="0.35">
      <c r="A119" s="27" t="s">
        <v>85</v>
      </c>
      <c r="B119" s="14" t="s">
        <v>80</v>
      </c>
      <c r="C119" s="27" t="s">
        <v>86</v>
      </c>
      <c r="D119" s="89" t="s">
        <v>120</v>
      </c>
      <c r="E119" s="89">
        <v>7</v>
      </c>
      <c r="F119" s="89" t="s">
        <v>121</v>
      </c>
      <c r="G119" s="89" t="s">
        <v>48</v>
      </c>
      <c r="H119" s="92">
        <v>46082</v>
      </c>
      <c r="I119" s="103"/>
      <c r="J119" s="94">
        <v>5187359.4800000004</v>
      </c>
      <c r="K119" s="94">
        <v>5187359.4800000004</v>
      </c>
      <c r="L119" s="89" t="s">
        <v>42</v>
      </c>
      <c r="M119" s="27" t="s">
        <v>64</v>
      </c>
      <c r="N119" s="33">
        <v>2599</v>
      </c>
      <c r="O119" s="12">
        <v>46132</v>
      </c>
      <c r="P119" s="27" t="s">
        <v>217</v>
      </c>
      <c r="Q119" s="17" t="s">
        <v>45</v>
      </c>
      <c r="R119" s="17" t="s">
        <v>46</v>
      </c>
      <c r="S119" s="94">
        <f t="shared" ref="S119:S126" si="53">+J119</f>
        <v>5187359.4800000004</v>
      </c>
      <c r="T119" s="94"/>
      <c r="U119" s="94">
        <f t="shared" ref="U119:U126" si="54">+S119*21%</f>
        <v>1089345.4908</v>
      </c>
      <c r="V119" s="94">
        <f t="shared" ref="V119:V126" si="55">+S119*3%</f>
        <v>155620.7844</v>
      </c>
      <c r="W119" s="94">
        <f>+S119*2.5%</f>
        <v>129683.98700000002</v>
      </c>
      <c r="X119" s="94">
        <f>IF(A119="00-175",S119*0.06,0)</f>
        <v>0</v>
      </c>
      <c r="Y119" s="94"/>
      <c r="Z119" s="94"/>
      <c r="AA119" s="94">
        <f t="shared" si="52"/>
        <v>6562009.7422000002</v>
      </c>
      <c r="AB119" s="29">
        <v>46141</v>
      </c>
      <c r="AC119" s="94">
        <v>6445309.7400000002</v>
      </c>
      <c r="AD119" s="98"/>
      <c r="AE119" s="94"/>
      <c r="AF119" s="27"/>
      <c r="AG119" s="94"/>
      <c r="AH119" s="94"/>
      <c r="AI119" s="94">
        <f t="shared" si="47"/>
        <v>6445309.7400000002</v>
      </c>
      <c r="AJ119" s="94">
        <f t="shared" si="48"/>
        <v>116700.00219999999</v>
      </c>
      <c r="AK119" s="90" t="str">
        <f t="shared" si="41"/>
        <v>Pendiente</v>
      </c>
    </row>
    <row r="120" spans="1:37" ht="15" hidden="1" customHeight="1" x14ac:dyDescent="0.35">
      <c r="A120" s="10" t="s">
        <v>66</v>
      </c>
      <c r="B120" s="10" t="s">
        <v>61</v>
      </c>
      <c r="C120" s="10" t="s">
        <v>67</v>
      </c>
      <c r="D120" s="89" t="s">
        <v>68</v>
      </c>
      <c r="E120" s="89">
        <v>10</v>
      </c>
      <c r="F120" s="89" t="s">
        <v>40</v>
      </c>
      <c r="G120" s="89" t="s">
        <v>41</v>
      </c>
      <c r="H120" s="92">
        <v>46082</v>
      </c>
      <c r="I120" s="103"/>
      <c r="J120" s="94">
        <v>33135157.539999999</v>
      </c>
      <c r="K120" s="94">
        <v>33135157.539999999</v>
      </c>
      <c r="L120" s="89" t="s">
        <v>42</v>
      </c>
      <c r="M120" s="10" t="s">
        <v>64</v>
      </c>
      <c r="N120" s="11">
        <v>2602</v>
      </c>
      <c r="O120" s="12">
        <v>46132</v>
      </c>
      <c r="P120" s="10" t="s">
        <v>218</v>
      </c>
      <c r="Q120" s="10" t="s">
        <v>45</v>
      </c>
      <c r="R120" s="10" t="s">
        <v>46</v>
      </c>
      <c r="S120" s="94">
        <f t="shared" si="53"/>
        <v>33135157.539999999</v>
      </c>
      <c r="T120" s="94"/>
      <c r="U120" s="94">
        <f t="shared" si="54"/>
        <v>6958383.0833999999</v>
      </c>
      <c r="V120" s="94">
        <f t="shared" si="55"/>
        <v>994054.72619999992</v>
      </c>
      <c r="W120" s="94">
        <f>+S120*0.3%</f>
        <v>99405.47262</v>
      </c>
      <c r="X120" s="94">
        <f>IF(A120="00-175",S120*0.06,0)</f>
        <v>1988109.4523999998</v>
      </c>
      <c r="Y120" s="94"/>
      <c r="Z120" s="94"/>
      <c r="AA120" s="94">
        <f t="shared" si="52"/>
        <v>43175110.274620004</v>
      </c>
      <c r="AB120" s="29">
        <v>46141</v>
      </c>
      <c r="AC120" s="94">
        <v>43175110.270000003</v>
      </c>
      <c r="AD120" s="10"/>
      <c r="AE120" s="94"/>
      <c r="AF120" s="10"/>
      <c r="AG120" s="94"/>
      <c r="AH120" s="94"/>
      <c r="AI120" s="94">
        <f t="shared" si="47"/>
        <v>43175110.270000003</v>
      </c>
      <c r="AJ120" s="94">
        <f t="shared" si="48"/>
        <v>4.6200007200241089E-3</v>
      </c>
      <c r="AK120" s="90">
        <f t="shared" si="41"/>
        <v>9</v>
      </c>
    </row>
    <row r="121" spans="1:37" ht="15" hidden="1" customHeight="1" x14ac:dyDescent="0.35">
      <c r="A121" s="10" t="s">
        <v>66</v>
      </c>
      <c r="B121" s="10" t="s">
        <v>61</v>
      </c>
      <c r="C121" s="10" t="s">
        <v>67</v>
      </c>
      <c r="D121" s="89" t="s">
        <v>68</v>
      </c>
      <c r="E121" s="89">
        <v>10</v>
      </c>
      <c r="F121" s="89" t="s">
        <v>71</v>
      </c>
      <c r="G121" s="89" t="s">
        <v>48</v>
      </c>
      <c r="H121" s="92">
        <v>46082</v>
      </c>
      <c r="I121" s="103"/>
      <c r="J121" s="94">
        <v>8473458.5600000005</v>
      </c>
      <c r="K121" s="94">
        <v>8473458.5600000005</v>
      </c>
      <c r="L121" s="89" t="s">
        <v>42</v>
      </c>
      <c r="M121" s="10" t="s">
        <v>64</v>
      </c>
      <c r="N121" s="11">
        <v>2603</v>
      </c>
      <c r="O121" s="12">
        <v>46132</v>
      </c>
      <c r="P121" s="10" t="s">
        <v>219</v>
      </c>
      <c r="Q121" s="10" t="s">
        <v>45</v>
      </c>
      <c r="R121" s="10" t="s">
        <v>46</v>
      </c>
      <c r="S121" s="94">
        <f t="shared" si="53"/>
        <v>8473458.5600000005</v>
      </c>
      <c r="T121" s="94"/>
      <c r="U121" s="94">
        <f t="shared" si="54"/>
        <v>1779426.2975999999</v>
      </c>
      <c r="V121" s="94">
        <f t="shared" si="55"/>
        <v>254203.7568</v>
      </c>
      <c r="W121" s="94">
        <f>+S121*0.3%</f>
        <v>25420.375680000001</v>
      </c>
      <c r="X121" s="94">
        <f>IF(A121="00-175",S121*0.06,0)</f>
        <v>508407.51360000001</v>
      </c>
      <c r="Y121" s="94"/>
      <c r="Z121" s="94"/>
      <c r="AA121" s="94">
        <f t="shared" si="52"/>
        <v>11040916.503679998</v>
      </c>
      <c r="AB121" s="29">
        <v>46141</v>
      </c>
      <c r="AC121" s="94">
        <v>11040671.029999999</v>
      </c>
      <c r="AD121" s="10"/>
      <c r="AE121" s="94"/>
      <c r="AF121" s="10"/>
      <c r="AG121" s="94"/>
      <c r="AH121" s="94"/>
      <c r="AI121" s="94">
        <f t="shared" si="47"/>
        <v>11040671.029999999</v>
      </c>
      <c r="AJ121" s="94">
        <f t="shared" si="48"/>
        <v>245.47367999888957</v>
      </c>
      <c r="AK121" s="90" t="str">
        <f t="shared" si="41"/>
        <v>Pendiente</v>
      </c>
    </row>
    <row r="122" spans="1:37" ht="15" hidden="1" customHeight="1" x14ac:dyDescent="0.35">
      <c r="A122" s="10" t="s">
        <v>79</v>
      </c>
      <c r="B122" s="14" t="s">
        <v>80</v>
      </c>
      <c r="C122" s="10" t="s">
        <v>81</v>
      </c>
      <c r="D122" s="89" t="s">
        <v>82</v>
      </c>
      <c r="E122" s="89">
        <v>10</v>
      </c>
      <c r="F122" s="89" t="s">
        <v>83</v>
      </c>
      <c r="G122" s="89" t="s">
        <v>41</v>
      </c>
      <c r="H122" s="92">
        <v>46082</v>
      </c>
      <c r="I122" s="103"/>
      <c r="J122" s="94">
        <v>16007002.539999999</v>
      </c>
      <c r="K122" s="94">
        <v>16007002.539999999</v>
      </c>
      <c r="L122" s="89" t="s">
        <v>42</v>
      </c>
      <c r="M122" s="10" t="s">
        <v>64</v>
      </c>
      <c r="N122" s="33">
        <v>2607</v>
      </c>
      <c r="O122" s="12">
        <v>46133</v>
      </c>
      <c r="P122" s="10" t="s">
        <v>220</v>
      </c>
      <c r="Q122" s="10" t="s">
        <v>45</v>
      </c>
      <c r="R122" s="10" t="s">
        <v>46</v>
      </c>
      <c r="S122" s="94">
        <f t="shared" si="53"/>
        <v>16007002.539999999</v>
      </c>
      <c r="T122" s="94"/>
      <c r="U122" s="94">
        <f t="shared" si="54"/>
        <v>3361470.5333999996</v>
      </c>
      <c r="V122" s="94">
        <f t="shared" si="55"/>
        <v>480210.07619999995</v>
      </c>
      <c r="W122" s="94">
        <f>+S122*2.5%</f>
        <v>400175.06349999999</v>
      </c>
      <c r="X122" s="94"/>
      <c r="Y122" s="94"/>
      <c r="Z122" s="94"/>
      <c r="AA122" s="94">
        <f t="shared" si="52"/>
        <v>20248858.213099997</v>
      </c>
      <c r="AB122" s="29">
        <v>46162</v>
      </c>
      <c r="AC122" s="94">
        <v>20248858.210000001</v>
      </c>
      <c r="AD122" s="10"/>
      <c r="AE122" s="94"/>
      <c r="AF122" s="10"/>
      <c r="AG122" s="94"/>
      <c r="AH122" s="94"/>
      <c r="AI122" s="94">
        <f t="shared" si="47"/>
        <v>20248858.210000001</v>
      </c>
      <c r="AJ122" s="94">
        <f t="shared" si="48"/>
        <v>3.0999965965747833E-3</v>
      </c>
      <c r="AK122" s="90">
        <f t="shared" si="41"/>
        <v>29</v>
      </c>
    </row>
    <row r="123" spans="1:37" ht="15" hidden="1" customHeight="1" x14ac:dyDescent="0.35">
      <c r="A123" s="10" t="s">
        <v>79</v>
      </c>
      <c r="B123" s="14" t="s">
        <v>80</v>
      </c>
      <c r="C123" s="10" t="s">
        <v>81</v>
      </c>
      <c r="D123" s="89" t="s">
        <v>221</v>
      </c>
      <c r="E123" s="89">
        <v>1</v>
      </c>
      <c r="F123" s="89" t="s">
        <v>222</v>
      </c>
      <c r="G123" s="89" t="s">
        <v>41</v>
      </c>
      <c r="H123" s="92">
        <v>46082</v>
      </c>
      <c r="I123" s="103"/>
      <c r="J123" s="94">
        <v>45292668.840000004</v>
      </c>
      <c r="K123" s="94">
        <v>45292668.840000004</v>
      </c>
      <c r="L123" s="89" t="s">
        <v>42</v>
      </c>
      <c r="M123" s="10" t="s">
        <v>64</v>
      </c>
      <c r="N123" s="33">
        <v>2608</v>
      </c>
      <c r="O123" s="12">
        <v>46135</v>
      </c>
      <c r="P123" s="10" t="s">
        <v>223</v>
      </c>
      <c r="Q123" s="10" t="s">
        <v>45</v>
      </c>
      <c r="R123" s="10" t="s">
        <v>46</v>
      </c>
      <c r="S123" s="94">
        <f t="shared" si="53"/>
        <v>45292668.840000004</v>
      </c>
      <c r="T123" s="94"/>
      <c r="U123" s="94">
        <f t="shared" si="54"/>
        <v>9511460.4563999996</v>
      </c>
      <c r="V123" s="94">
        <f t="shared" si="55"/>
        <v>1358780.0652000001</v>
      </c>
      <c r="W123" s="94">
        <f>+S123*2.5%</f>
        <v>1132316.7210000001</v>
      </c>
      <c r="X123" s="94"/>
      <c r="Y123" s="94"/>
      <c r="Z123" s="94"/>
      <c r="AA123" s="94">
        <f t="shared" si="52"/>
        <v>57295226.082600005</v>
      </c>
      <c r="AB123" s="29">
        <v>46162</v>
      </c>
      <c r="AC123" s="94">
        <v>57295226.090000004</v>
      </c>
      <c r="AD123" s="10"/>
      <c r="AE123" s="94"/>
      <c r="AF123" s="10"/>
      <c r="AG123" s="94"/>
      <c r="AH123" s="94"/>
      <c r="AI123" s="94">
        <f t="shared" si="47"/>
        <v>57295226.090000004</v>
      </c>
      <c r="AJ123" s="94">
        <f t="shared" si="48"/>
        <v>-7.3999986052513123E-3</v>
      </c>
      <c r="AK123" s="90">
        <f t="shared" si="41"/>
        <v>27</v>
      </c>
    </row>
    <row r="124" spans="1:37" ht="15" hidden="1" customHeight="1" x14ac:dyDescent="0.35">
      <c r="A124" s="10" t="s">
        <v>79</v>
      </c>
      <c r="B124" s="14" t="s">
        <v>80</v>
      </c>
      <c r="C124" s="10" t="s">
        <v>81</v>
      </c>
      <c r="D124" s="89" t="s">
        <v>224</v>
      </c>
      <c r="E124" s="89">
        <v>1</v>
      </c>
      <c r="F124" s="89" t="s">
        <v>225</v>
      </c>
      <c r="G124" s="89" t="s">
        <v>48</v>
      </c>
      <c r="H124" s="92">
        <v>46082</v>
      </c>
      <c r="I124" s="103"/>
      <c r="J124" s="94">
        <v>574369.53</v>
      </c>
      <c r="K124" s="94">
        <v>574369.53</v>
      </c>
      <c r="L124" s="89" t="s">
        <v>42</v>
      </c>
      <c r="M124" s="10" t="s">
        <v>64</v>
      </c>
      <c r="N124" s="33">
        <v>2609</v>
      </c>
      <c r="O124" s="12">
        <v>46135</v>
      </c>
      <c r="P124" s="10" t="s">
        <v>226</v>
      </c>
      <c r="Q124" s="10" t="s">
        <v>45</v>
      </c>
      <c r="R124" s="10" t="s">
        <v>46</v>
      </c>
      <c r="S124" s="94">
        <f t="shared" si="53"/>
        <v>574369.53</v>
      </c>
      <c r="T124" s="94"/>
      <c r="U124" s="94">
        <f t="shared" si="54"/>
        <v>120617.60129999999</v>
      </c>
      <c r="V124" s="94">
        <f t="shared" si="55"/>
        <v>17231.085900000002</v>
      </c>
      <c r="W124" s="94">
        <f>+S124*2.5%</f>
        <v>14359.238250000002</v>
      </c>
      <c r="X124" s="94"/>
      <c r="Y124" s="94"/>
      <c r="Z124" s="94"/>
      <c r="AA124" s="94">
        <f t="shared" si="52"/>
        <v>726577.45545000001</v>
      </c>
      <c r="AB124" s="29">
        <v>46162</v>
      </c>
      <c r="AC124" s="94">
        <v>726577.46</v>
      </c>
      <c r="AD124" s="10"/>
      <c r="AE124" s="94"/>
      <c r="AF124" s="10"/>
      <c r="AG124" s="94"/>
      <c r="AH124" s="94"/>
      <c r="AI124" s="94">
        <f t="shared" si="47"/>
        <v>726577.46</v>
      </c>
      <c r="AJ124" s="94">
        <f t="shared" si="48"/>
        <v>-4.5499999541789293E-3</v>
      </c>
      <c r="AK124" s="90">
        <f t="shared" si="41"/>
        <v>27</v>
      </c>
    </row>
    <row r="125" spans="1:37" ht="15" hidden="1" customHeight="1" x14ac:dyDescent="0.35">
      <c r="A125" s="27" t="s">
        <v>85</v>
      </c>
      <c r="B125" s="14" t="s">
        <v>80</v>
      </c>
      <c r="C125" s="27" t="s">
        <v>86</v>
      </c>
      <c r="D125" s="89" t="s">
        <v>227</v>
      </c>
      <c r="E125" s="89">
        <v>1</v>
      </c>
      <c r="F125" s="89" t="s">
        <v>104</v>
      </c>
      <c r="G125" s="89" t="s">
        <v>41</v>
      </c>
      <c r="H125" s="92">
        <v>46082</v>
      </c>
      <c r="I125" s="103"/>
      <c r="J125" s="94">
        <v>169496073.94999999</v>
      </c>
      <c r="K125" s="94">
        <v>169496073.94999999</v>
      </c>
      <c r="L125" s="89" t="s">
        <v>42</v>
      </c>
      <c r="M125" s="27" t="s">
        <v>64</v>
      </c>
      <c r="N125" s="33">
        <v>2611</v>
      </c>
      <c r="O125" s="12">
        <v>46142</v>
      </c>
      <c r="P125" s="27" t="s">
        <v>228</v>
      </c>
      <c r="Q125" s="17" t="s">
        <v>45</v>
      </c>
      <c r="R125" s="17" t="s">
        <v>46</v>
      </c>
      <c r="S125" s="94">
        <f t="shared" si="53"/>
        <v>169496073.94999999</v>
      </c>
      <c r="T125" s="94"/>
      <c r="U125" s="94">
        <f t="shared" si="54"/>
        <v>35594175.529499993</v>
      </c>
      <c r="V125" s="94">
        <f t="shared" si="55"/>
        <v>5084882.2184999995</v>
      </c>
      <c r="W125" s="94">
        <f>+S125*2.5%</f>
        <v>4237401.8487499999</v>
      </c>
      <c r="X125" s="94">
        <f>IF(A125="00-175",S125*0.06,0)</f>
        <v>0</v>
      </c>
      <c r="Y125" s="94"/>
      <c r="Z125" s="94"/>
      <c r="AA125" s="94">
        <f t="shared" si="52"/>
        <v>214412533.54674998</v>
      </c>
      <c r="AB125" s="29">
        <v>46162</v>
      </c>
      <c r="AC125" s="94">
        <v>214412533.55000001</v>
      </c>
      <c r="AD125" s="98"/>
      <c r="AE125" s="94"/>
      <c r="AF125" s="27"/>
      <c r="AG125" s="94"/>
      <c r="AH125" s="94"/>
      <c r="AI125" s="94">
        <f t="shared" si="47"/>
        <v>214412533.55000001</v>
      </c>
      <c r="AJ125" s="94">
        <f t="shared" si="48"/>
        <v>-3.2500326633453369E-3</v>
      </c>
      <c r="AK125" s="90">
        <f t="shared" si="41"/>
        <v>20</v>
      </c>
    </row>
    <row r="126" spans="1:37" ht="15" hidden="1" customHeight="1" x14ac:dyDescent="0.35">
      <c r="A126" s="10" t="s">
        <v>85</v>
      </c>
      <c r="B126" s="14" t="s">
        <v>80</v>
      </c>
      <c r="C126" s="10" t="s">
        <v>86</v>
      </c>
      <c r="D126" s="89" t="s">
        <v>227</v>
      </c>
      <c r="E126" s="89">
        <v>1</v>
      </c>
      <c r="F126" s="89" t="s">
        <v>121</v>
      </c>
      <c r="G126" s="89" t="s">
        <v>48</v>
      </c>
      <c r="H126" s="92">
        <v>46082</v>
      </c>
      <c r="I126" s="103"/>
      <c r="J126" s="94">
        <v>6106787.4199999999</v>
      </c>
      <c r="K126" s="94">
        <v>6106787.4199999999</v>
      </c>
      <c r="L126" s="89" t="s">
        <v>42</v>
      </c>
      <c r="M126" s="10" t="s">
        <v>64</v>
      </c>
      <c r="N126" s="33">
        <v>2612</v>
      </c>
      <c r="O126" s="12">
        <v>46142</v>
      </c>
      <c r="P126" s="10" t="s">
        <v>229</v>
      </c>
      <c r="Q126" s="10" t="s">
        <v>45</v>
      </c>
      <c r="R126" s="10" t="s">
        <v>46</v>
      </c>
      <c r="S126" s="94">
        <f t="shared" si="53"/>
        <v>6106787.4199999999</v>
      </c>
      <c r="T126" s="94"/>
      <c r="U126" s="94">
        <f t="shared" si="54"/>
        <v>1282425.3581999999</v>
      </c>
      <c r="V126" s="94">
        <f t="shared" si="55"/>
        <v>183203.6226</v>
      </c>
      <c r="W126" s="94">
        <f>+S126*2.5%</f>
        <v>152669.68549999999</v>
      </c>
      <c r="X126" s="94">
        <f>IF(A126="00-175",S126*0.06,0)</f>
        <v>0</v>
      </c>
      <c r="Y126" s="94"/>
      <c r="Z126" s="94"/>
      <c r="AA126" s="94">
        <f t="shared" si="52"/>
        <v>7725086.0862999996</v>
      </c>
      <c r="AB126" s="29">
        <v>46162</v>
      </c>
      <c r="AC126" s="94">
        <v>7724860.1399999997</v>
      </c>
      <c r="AD126" s="10"/>
      <c r="AE126" s="94"/>
      <c r="AF126" s="10"/>
      <c r="AG126" s="94"/>
      <c r="AH126" s="94"/>
      <c r="AI126" s="94">
        <f t="shared" si="47"/>
        <v>7724860.1399999997</v>
      </c>
      <c r="AJ126" s="94">
        <f t="shared" si="48"/>
        <v>225.94629999995232</v>
      </c>
      <c r="AK126" s="90" t="str">
        <f t="shared" si="41"/>
        <v>Pendiente</v>
      </c>
    </row>
    <row r="127" spans="1:37" ht="15" hidden="1" customHeight="1" x14ac:dyDescent="0.35">
      <c r="A127" s="10" t="s">
        <v>130</v>
      </c>
      <c r="B127" s="14" t="s">
        <v>131</v>
      </c>
      <c r="C127" s="10" t="s">
        <v>132</v>
      </c>
      <c r="D127" s="89" t="s">
        <v>133</v>
      </c>
      <c r="E127" s="89">
        <v>4</v>
      </c>
      <c r="F127" s="89" t="s">
        <v>230</v>
      </c>
      <c r="G127" s="89" t="s">
        <v>41</v>
      </c>
      <c r="H127" s="92">
        <v>46082</v>
      </c>
      <c r="I127" s="94">
        <f>+J127-K127</f>
        <v>341686260.42999995</v>
      </c>
      <c r="J127" s="94">
        <v>740743917.02999997</v>
      </c>
      <c r="K127" s="94">
        <v>399057656.60000002</v>
      </c>
      <c r="L127" s="89" t="s">
        <v>42</v>
      </c>
      <c r="M127" s="10" t="s">
        <v>64</v>
      </c>
      <c r="N127" s="33">
        <v>2620</v>
      </c>
      <c r="O127" s="12">
        <v>46162</v>
      </c>
      <c r="P127" s="10" t="s">
        <v>231</v>
      </c>
      <c r="Q127" s="10" t="s">
        <v>45</v>
      </c>
      <c r="R127" s="10" t="s">
        <v>46</v>
      </c>
      <c r="S127" s="94">
        <v>399057656.60000002</v>
      </c>
      <c r="T127" s="94">
        <v>41901053.939999998</v>
      </c>
      <c r="U127" s="94">
        <v>0</v>
      </c>
      <c r="V127" s="94">
        <v>0</v>
      </c>
      <c r="W127" s="94">
        <v>11971729.699999999</v>
      </c>
      <c r="X127" s="94">
        <v>13967017.98</v>
      </c>
      <c r="Y127" s="94">
        <v>0</v>
      </c>
      <c r="Z127" s="94">
        <v>5985864.8499999996</v>
      </c>
      <c r="AA127" s="94">
        <v>472883323.06999999</v>
      </c>
      <c r="AB127" s="12">
        <v>46164</v>
      </c>
      <c r="AC127" s="94">
        <v>398342459.29000002</v>
      </c>
      <c r="AD127" s="10"/>
      <c r="AE127" s="94"/>
      <c r="AF127" s="10"/>
      <c r="AG127" s="94"/>
      <c r="AH127" s="94"/>
      <c r="AI127" s="94">
        <f>+AC127</f>
        <v>398342459.29000002</v>
      </c>
      <c r="AJ127" s="94">
        <f>+AA127-AI127</f>
        <v>74540863.779999971</v>
      </c>
      <c r="AK127" s="90" t="s">
        <v>46</v>
      </c>
    </row>
    <row r="128" spans="1:37" ht="15" hidden="1" customHeight="1" x14ac:dyDescent="0.35">
      <c r="A128" s="27" t="s">
        <v>130</v>
      </c>
      <c r="B128" s="27" t="s">
        <v>131</v>
      </c>
      <c r="C128" s="10" t="s">
        <v>132</v>
      </c>
      <c r="D128" s="89" t="s">
        <v>133</v>
      </c>
      <c r="E128" s="89">
        <v>4</v>
      </c>
      <c r="F128" s="89" t="s">
        <v>232</v>
      </c>
      <c r="G128" s="89" t="s">
        <v>48</v>
      </c>
      <c r="H128" s="92">
        <v>46082</v>
      </c>
      <c r="I128" s="94">
        <v>26342887.75</v>
      </c>
      <c r="J128" s="94">
        <v>26342887.75</v>
      </c>
      <c r="K128" s="94">
        <v>0</v>
      </c>
      <c r="L128" s="89" t="s">
        <v>42</v>
      </c>
      <c r="M128" s="27" t="s">
        <v>64</v>
      </c>
      <c r="N128" s="33">
        <v>2621</v>
      </c>
      <c r="O128" s="12">
        <v>46162</v>
      </c>
      <c r="P128" s="27" t="s">
        <v>233</v>
      </c>
      <c r="Q128" s="17" t="s">
        <v>45</v>
      </c>
      <c r="R128" s="17" t="s">
        <v>46</v>
      </c>
      <c r="S128" s="94">
        <v>26342887.75</v>
      </c>
      <c r="T128" s="94">
        <v>2766003.21</v>
      </c>
      <c r="U128" s="94">
        <v>0</v>
      </c>
      <c r="V128" s="94">
        <v>0</v>
      </c>
      <c r="W128" s="94">
        <v>790286.63</v>
      </c>
      <c r="X128" s="94">
        <v>922001.07</v>
      </c>
      <c r="Y128" s="94">
        <v>0</v>
      </c>
      <c r="Z128" s="94">
        <v>395143.32</v>
      </c>
      <c r="AA128" s="94">
        <v>31216321.98</v>
      </c>
      <c r="AB128" s="16">
        <v>46007</v>
      </c>
      <c r="AC128" s="94">
        <v>0</v>
      </c>
      <c r="AD128" s="98"/>
      <c r="AE128" s="94"/>
      <c r="AF128" s="27"/>
      <c r="AG128" s="94"/>
      <c r="AH128" s="94"/>
      <c r="AI128" s="94">
        <v>0</v>
      </c>
      <c r="AJ128" s="94">
        <v>0</v>
      </c>
      <c r="AK128" s="90" t="s">
        <v>46</v>
      </c>
    </row>
    <row r="129" spans="1:37" ht="15" hidden="1" customHeight="1" x14ac:dyDescent="0.35">
      <c r="A129" s="10" t="s">
        <v>85</v>
      </c>
      <c r="B129" s="14" t="s">
        <v>80</v>
      </c>
      <c r="C129" s="10" t="s">
        <v>86</v>
      </c>
      <c r="D129" s="89" t="s">
        <v>234</v>
      </c>
      <c r="E129" s="89">
        <v>1</v>
      </c>
      <c r="F129" s="89" t="s">
        <v>121</v>
      </c>
      <c r="G129" s="89" t="s">
        <v>48</v>
      </c>
      <c r="H129" s="92">
        <v>46082</v>
      </c>
      <c r="I129" s="103"/>
      <c r="J129" s="94">
        <v>2872401.71</v>
      </c>
      <c r="K129" s="94">
        <v>2872401.71</v>
      </c>
      <c r="L129" s="89" t="s">
        <v>235</v>
      </c>
      <c r="M129" s="10"/>
      <c r="N129" s="11"/>
      <c r="O129" s="12"/>
      <c r="P129" s="10"/>
      <c r="Q129" s="10"/>
      <c r="R129" s="10"/>
      <c r="S129" s="94"/>
      <c r="T129" s="94"/>
      <c r="U129" s="94">
        <f t="shared" ref="U129:U143" si="56">+S129*21%</f>
        <v>0</v>
      </c>
      <c r="V129" s="94">
        <f t="shared" ref="V129:V143" si="57">+S129*3%</f>
        <v>0</v>
      </c>
      <c r="W129" s="94">
        <f>+S129*0.3%</f>
        <v>0</v>
      </c>
      <c r="X129" s="94">
        <f>IF(A129="00-175",S129*0.06,0)</f>
        <v>0</v>
      </c>
      <c r="Y129" s="94"/>
      <c r="Z129" s="94"/>
      <c r="AA129" s="94">
        <f t="shared" ref="AA129:AA143" si="58">+S129+T129+U129+W129+X129+V129+Y129</f>
        <v>0</v>
      </c>
      <c r="AB129" s="10"/>
      <c r="AC129" s="94"/>
      <c r="AD129" s="10"/>
      <c r="AE129" s="94"/>
      <c r="AF129" s="10"/>
      <c r="AG129" s="94"/>
      <c r="AH129" s="94"/>
      <c r="AI129" s="94">
        <f t="shared" ref="AI129:AI143" si="59">+AC129+AE129+AG129+AH129</f>
        <v>0</v>
      </c>
      <c r="AJ129" s="94">
        <f t="shared" ref="AJ129:AJ143" si="60">+AA129-AI129</f>
        <v>0</v>
      </c>
      <c r="AK129" s="90" t="str">
        <f t="shared" si="41"/>
        <v>Pendiente</v>
      </c>
    </row>
    <row r="130" spans="1:37" ht="15" hidden="1" customHeight="1" x14ac:dyDescent="0.35">
      <c r="A130" s="27" t="s">
        <v>79</v>
      </c>
      <c r="B130" s="14" t="s">
        <v>80</v>
      </c>
      <c r="C130" s="27" t="s">
        <v>81</v>
      </c>
      <c r="D130" s="89" t="s">
        <v>185</v>
      </c>
      <c r="E130" s="89">
        <v>1</v>
      </c>
      <c r="F130" s="89" t="s">
        <v>236</v>
      </c>
      <c r="G130" s="89" t="s">
        <v>41</v>
      </c>
      <c r="H130" s="92">
        <v>46113</v>
      </c>
      <c r="I130" s="103"/>
      <c r="J130" s="94">
        <v>12570831.699999999</v>
      </c>
      <c r="K130" s="94">
        <v>12570831.699999999</v>
      </c>
      <c r="L130" s="89" t="s">
        <v>42</v>
      </c>
      <c r="M130" s="27" t="s">
        <v>64</v>
      </c>
      <c r="N130" s="33">
        <v>2613</v>
      </c>
      <c r="O130" s="12">
        <v>46150</v>
      </c>
      <c r="P130" s="27" t="s">
        <v>237</v>
      </c>
      <c r="Q130" s="17" t="s">
        <v>45</v>
      </c>
      <c r="R130" s="17" t="s">
        <v>46</v>
      </c>
      <c r="S130" s="94">
        <f>+J130</f>
        <v>12570831.699999999</v>
      </c>
      <c r="T130" s="94"/>
      <c r="U130" s="94">
        <f t="shared" si="56"/>
        <v>2639874.6569999997</v>
      </c>
      <c r="V130" s="94">
        <f t="shared" si="57"/>
        <v>377124.95099999994</v>
      </c>
      <c r="W130" s="94">
        <f>+S130*2.5%</f>
        <v>314270.79249999998</v>
      </c>
      <c r="X130" s="94"/>
      <c r="Y130" s="94"/>
      <c r="Z130" s="94"/>
      <c r="AA130" s="94">
        <f t="shared" si="58"/>
        <v>15902102.100499999</v>
      </c>
      <c r="AB130" s="29"/>
      <c r="AC130" s="94"/>
      <c r="AD130" s="98"/>
      <c r="AE130" s="94"/>
      <c r="AF130" s="27"/>
      <c r="AG130" s="94"/>
      <c r="AH130" s="94"/>
      <c r="AI130" s="94">
        <f t="shared" si="59"/>
        <v>0</v>
      </c>
      <c r="AJ130" s="94">
        <f t="shared" si="60"/>
        <v>15902102.100499999</v>
      </c>
      <c r="AK130" s="90" t="str">
        <f t="shared" si="41"/>
        <v>Pendiente</v>
      </c>
    </row>
    <row r="131" spans="1:37" ht="15" hidden="1" customHeight="1" x14ac:dyDescent="0.35">
      <c r="A131" s="10" t="s">
        <v>66</v>
      </c>
      <c r="B131" s="10" t="s">
        <v>61</v>
      </c>
      <c r="C131" s="10" t="s">
        <v>67</v>
      </c>
      <c r="D131" s="89" t="s">
        <v>68</v>
      </c>
      <c r="E131" s="89">
        <v>11</v>
      </c>
      <c r="F131" s="89" t="s">
        <v>40</v>
      </c>
      <c r="G131" s="89" t="s">
        <v>40</v>
      </c>
      <c r="H131" s="92">
        <v>46113</v>
      </c>
      <c r="I131" s="103"/>
      <c r="J131" s="94">
        <v>22282672.129999999</v>
      </c>
      <c r="K131" s="94">
        <v>22282672.129999999</v>
      </c>
      <c r="L131" s="89" t="s">
        <v>235</v>
      </c>
      <c r="M131" s="10"/>
      <c r="N131" s="11"/>
      <c r="O131" s="12"/>
      <c r="P131" s="10"/>
      <c r="Q131" s="10"/>
      <c r="R131" s="10"/>
      <c r="S131" s="94"/>
      <c r="T131" s="94"/>
      <c r="U131" s="94">
        <f t="shared" si="56"/>
        <v>0</v>
      </c>
      <c r="V131" s="94">
        <f t="shared" si="57"/>
        <v>0</v>
      </c>
      <c r="W131" s="94">
        <f t="shared" ref="W131:W136" si="61">+S131*0.3%</f>
        <v>0</v>
      </c>
      <c r="X131" s="94">
        <f t="shared" ref="X131:X136" si="62">IF(A131="00-175",S131*0.06,0)</f>
        <v>0</v>
      </c>
      <c r="Y131" s="94"/>
      <c r="Z131" s="94"/>
      <c r="AA131" s="94">
        <f t="shared" si="58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9"/>
        <v>0</v>
      </c>
      <c r="AJ131" s="94">
        <f t="shared" si="60"/>
        <v>0</v>
      </c>
      <c r="AK131" s="90" t="str">
        <f t="shared" si="41"/>
        <v>Pendiente</v>
      </c>
    </row>
    <row r="132" spans="1:37" ht="15" hidden="1" customHeight="1" x14ac:dyDescent="0.35">
      <c r="A132" s="10" t="s">
        <v>66</v>
      </c>
      <c r="B132" s="10" t="s">
        <v>61</v>
      </c>
      <c r="C132" s="10" t="s">
        <v>67</v>
      </c>
      <c r="D132" s="89" t="s">
        <v>68</v>
      </c>
      <c r="E132" s="89">
        <v>11</v>
      </c>
      <c r="F132" s="89" t="s">
        <v>71</v>
      </c>
      <c r="G132" s="89" t="s">
        <v>48</v>
      </c>
      <c r="H132" s="92">
        <v>46113</v>
      </c>
      <c r="I132" s="103"/>
      <c r="J132" s="94">
        <v>6813690.3700000001</v>
      </c>
      <c r="K132" s="94">
        <v>6813690.3700000001</v>
      </c>
      <c r="L132" s="89" t="s">
        <v>235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56"/>
        <v>0</v>
      </c>
      <c r="V132" s="94">
        <f t="shared" si="57"/>
        <v>0</v>
      </c>
      <c r="W132" s="94">
        <f t="shared" si="61"/>
        <v>0</v>
      </c>
      <c r="X132" s="94">
        <f t="shared" si="62"/>
        <v>0</v>
      </c>
      <c r="Y132" s="94"/>
      <c r="Z132" s="94"/>
      <c r="AA132" s="94">
        <f t="shared" si="58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9"/>
        <v>0</v>
      </c>
      <c r="AJ132" s="94">
        <f t="shared" si="60"/>
        <v>0</v>
      </c>
      <c r="AK132" s="90" t="str">
        <f t="shared" si="41"/>
        <v>Pendiente</v>
      </c>
    </row>
    <row r="133" spans="1:37" ht="15" hidden="1" customHeight="1" x14ac:dyDescent="0.35">
      <c r="A133" s="10" t="s">
        <v>85</v>
      </c>
      <c r="B133" s="14" t="s">
        <v>80</v>
      </c>
      <c r="C133" s="10" t="s">
        <v>86</v>
      </c>
      <c r="D133" s="89" t="s">
        <v>238</v>
      </c>
      <c r="E133" s="89">
        <v>1</v>
      </c>
      <c r="F133" s="89" t="s">
        <v>104</v>
      </c>
      <c r="G133" s="89" t="s">
        <v>40</v>
      </c>
      <c r="H133" s="92">
        <v>46113</v>
      </c>
      <c r="I133" s="103"/>
      <c r="J133" s="94">
        <v>62903639.799999997</v>
      </c>
      <c r="K133" s="94">
        <v>62903639.799999997</v>
      </c>
      <c r="L133" s="89" t="s">
        <v>235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56"/>
        <v>0</v>
      </c>
      <c r="V133" s="94">
        <f t="shared" si="57"/>
        <v>0</v>
      </c>
      <c r="W133" s="94">
        <f t="shared" si="61"/>
        <v>0</v>
      </c>
      <c r="X133" s="94">
        <f t="shared" si="62"/>
        <v>0</v>
      </c>
      <c r="Y133" s="94"/>
      <c r="Z133" s="94"/>
      <c r="AA133" s="94">
        <f t="shared" si="58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9"/>
        <v>0</v>
      </c>
      <c r="AJ133" s="94">
        <f t="shared" si="60"/>
        <v>0</v>
      </c>
      <c r="AK133" s="90" t="str">
        <f t="shared" si="41"/>
        <v>Pendiente</v>
      </c>
    </row>
    <row r="134" spans="1:37" ht="15" hidden="1" customHeight="1" x14ac:dyDescent="0.35">
      <c r="A134" s="10" t="s">
        <v>85</v>
      </c>
      <c r="B134" s="14" t="s">
        <v>80</v>
      </c>
      <c r="C134" s="10" t="s">
        <v>86</v>
      </c>
      <c r="D134" s="89" t="s">
        <v>234</v>
      </c>
      <c r="E134" s="89">
        <v>1</v>
      </c>
      <c r="F134" s="89" t="s">
        <v>121</v>
      </c>
      <c r="G134" s="89" t="s">
        <v>48</v>
      </c>
      <c r="H134" s="92">
        <v>46113</v>
      </c>
      <c r="I134" s="103"/>
      <c r="J134" s="94">
        <v>2266360.2000000002</v>
      </c>
      <c r="K134" s="94">
        <v>2266360.2000000002</v>
      </c>
      <c r="L134" s="89" t="s">
        <v>235</v>
      </c>
      <c r="M134" s="10"/>
      <c r="N134" s="11"/>
      <c r="O134" s="12"/>
      <c r="P134" s="10"/>
      <c r="Q134" s="7"/>
      <c r="R134" s="10"/>
      <c r="S134" s="94"/>
      <c r="T134" s="94"/>
      <c r="U134" s="94">
        <f t="shared" si="56"/>
        <v>0</v>
      </c>
      <c r="V134" s="94">
        <f t="shared" si="57"/>
        <v>0</v>
      </c>
      <c r="W134" s="94">
        <f t="shared" si="61"/>
        <v>0</v>
      </c>
      <c r="X134" s="94">
        <f t="shared" si="62"/>
        <v>0</v>
      </c>
      <c r="Y134" s="94"/>
      <c r="Z134" s="94"/>
      <c r="AA134" s="94">
        <f t="shared" si="58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9"/>
        <v>0</v>
      </c>
      <c r="AJ134" s="94">
        <f t="shared" si="60"/>
        <v>0</v>
      </c>
      <c r="AK134" s="90" t="str">
        <f t="shared" si="41"/>
        <v>Pendiente</v>
      </c>
    </row>
    <row r="135" spans="1:37" ht="15" hidden="1" customHeight="1" x14ac:dyDescent="0.35">
      <c r="A135" s="10" t="s">
        <v>85</v>
      </c>
      <c r="B135" s="14" t="s">
        <v>80</v>
      </c>
      <c r="C135" s="10" t="s">
        <v>86</v>
      </c>
      <c r="D135" s="89" t="s">
        <v>239</v>
      </c>
      <c r="E135" s="89">
        <v>2</v>
      </c>
      <c r="F135" s="89" t="s">
        <v>104</v>
      </c>
      <c r="G135" s="89" t="s">
        <v>40</v>
      </c>
      <c r="H135" s="92">
        <v>46113</v>
      </c>
      <c r="I135" s="103"/>
      <c r="J135" s="94">
        <v>420952975.31999999</v>
      </c>
      <c r="K135" s="94">
        <v>420952975.31999999</v>
      </c>
      <c r="L135" s="89" t="s">
        <v>235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56"/>
        <v>0</v>
      </c>
      <c r="V135" s="94">
        <f t="shared" si="57"/>
        <v>0</v>
      </c>
      <c r="W135" s="94">
        <f t="shared" si="61"/>
        <v>0</v>
      </c>
      <c r="X135" s="94">
        <f t="shared" si="62"/>
        <v>0</v>
      </c>
      <c r="Y135" s="94"/>
      <c r="Z135" s="94"/>
      <c r="AA135" s="94">
        <f t="shared" si="58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9"/>
        <v>0</v>
      </c>
      <c r="AJ135" s="94">
        <f t="shared" si="60"/>
        <v>0</v>
      </c>
      <c r="AK135" s="90" t="str">
        <f t="shared" si="41"/>
        <v>Pendiente</v>
      </c>
    </row>
    <row r="136" spans="1:37" ht="15" hidden="1" customHeight="1" x14ac:dyDescent="0.35">
      <c r="A136" s="10" t="s">
        <v>85</v>
      </c>
      <c r="B136" s="14" t="s">
        <v>80</v>
      </c>
      <c r="C136" s="10" t="s">
        <v>86</v>
      </c>
      <c r="D136" s="89" t="s">
        <v>240</v>
      </c>
      <c r="E136" s="89">
        <v>2</v>
      </c>
      <c r="F136" s="89" t="s">
        <v>104</v>
      </c>
      <c r="G136" s="89" t="s">
        <v>40</v>
      </c>
      <c r="H136" s="92">
        <v>46113</v>
      </c>
      <c r="I136" s="103"/>
      <c r="J136" s="94">
        <v>22300318.190000001</v>
      </c>
      <c r="K136" s="94">
        <v>22300318.190000001</v>
      </c>
      <c r="L136" s="89" t="s">
        <v>235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56"/>
        <v>0</v>
      </c>
      <c r="V136" s="94">
        <f t="shared" si="57"/>
        <v>0</v>
      </c>
      <c r="W136" s="94">
        <f t="shared" si="61"/>
        <v>0</v>
      </c>
      <c r="X136" s="94">
        <f t="shared" si="62"/>
        <v>0</v>
      </c>
      <c r="Y136" s="94"/>
      <c r="Z136" s="94"/>
      <c r="AA136" s="94">
        <f t="shared" si="58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9"/>
        <v>0</v>
      </c>
      <c r="AJ136" s="94">
        <f t="shared" si="60"/>
        <v>0</v>
      </c>
      <c r="AK136" s="90" t="str">
        <f t="shared" si="41"/>
        <v>Pendiente</v>
      </c>
    </row>
    <row r="137" spans="1:37" ht="15" hidden="1" customHeight="1" x14ac:dyDescent="0.35">
      <c r="A137" s="10" t="s">
        <v>79</v>
      </c>
      <c r="B137" s="14" t="s">
        <v>80</v>
      </c>
      <c r="C137" s="10" t="s">
        <v>81</v>
      </c>
      <c r="D137" s="89" t="s">
        <v>241</v>
      </c>
      <c r="E137" s="89">
        <v>5</v>
      </c>
      <c r="F137" s="89" t="s">
        <v>108</v>
      </c>
      <c r="G137" s="89" t="s">
        <v>41</v>
      </c>
      <c r="H137" s="92">
        <v>46054</v>
      </c>
      <c r="I137" s="103">
        <v>5617833.2599999998</v>
      </c>
      <c r="J137" s="94">
        <v>14769680.940000003</v>
      </c>
      <c r="K137" s="94">
        <v>14769680.940000003</v>
      </c>
      <c r="L137" s="89" t="s">
        <v>235</v>
      </c>
      <c r="M137" s="10"/>
      <c r="N137" s="11"/>
      <c r="O137" s="12"/>
      <c r="P137" s="10"/>
      <c r="Q137" s="10"/>
      <c r="R137" s="10"/>
      <c r="S137" s="94"/>
      <c r="T137" s="94"/>
      <c r="U137" s="94">
        <f t="shared" si="56"/>
        <v>0</v>
      </c>
      <c r="V137" s="94">
        <f t="shared" si="57"/>
        <v>0</v>
      </c>
      <c r="W137" s="94">
        <f t="shared" ref="W137:W143" si="63">+S137*2.5%</f>
        <v>0</v>
      </c>
      <c r="X137" s="94"/>
      <c r="Y137" s="94"/>
      <c r="Z137" s="94"/>
      <c r="AA137" s="94">
        <f t="shared" si="58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9"/>
        <v>0</v>
      </c>
      <c r="AJ137" s="94">
        <f t="shared" si="60"/>
        <v>0</v>
      </c>
      <c r="AK137" s="90" t="str">
        <f t="shared" si="41"/>
        <v>Pendiente</v>
      </c>
    </row>
    <row r="138" spans="1:37" ht="15" hidden="1" customHeight="1" x14ac:dyDescent="0.35">
      <c r="A138" s="10" t="s">
        <v>79</v>
      </c>
      <c r="B138" s="14" t="s">
        <v>80</v>
      </c>
      <c r="C138" s="10" t="s">
        <v>81</v>
      </c>
      <c r="D138" s="89" t="s">
        <v>242</v>
      </c>
      <c r="E138" s="89">
        <v>5</v>
      </c>
      <c r="F138" s="89" t="s">
        <v>111</v>
      </c>
      <c r="G138" s="89" t="s">
        <v>48</v>
      </c>
      <c r="H138" s="92">
        <v>46113</v>
      </c>
      <c r="I138" s="103"/>
      <c r="J138" s="94">
        <v>2397087.0100000002</v>
      </c>
      <c r="K138" s="94">
        <v>2397087.0100000002</v>
      </c>
      <c r="L138" s="89" t="s">
        <v>235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56"/>
        <v>0</v>
      </c>
      <c r="V138" s="94">
        <f t="shared" si="57"/>
        <v>0</v>
      </c>
      <c r="W138" s="94">
        <f t="shared" si="63"/>
        <v>0</v>
      </c>
      <c r="X138" s="94"/>
      <c r="Y138" s="94"/>
      <c r="Z138" s="94"/>
      <c r="AA138" s="94">
        <f t="shared" si="58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9"/>
        <v>0</v>
      </c>
      <c r="AJ138" s="94">
        <f t="shared" si="60"/>
        <v>0</v>
      </c>
      <c r="AK138" s="90" t="str">
        <f t="shared" si="41"/>
        <v>Pendiente</v>
      </c>
    </row>
    <row r="139" spans="1:37" ht="15" hidden="1" customHeight="1" x14ac:dyDescent="0.35">
      <c r="A139" s="10" t="s">
        <v>79</v>
      </c>
      <c r="B139" s="14" t="s">
        <v>80</v>
      </c>
      <c r="C139" s="10" t="s">
        <v>81</v>
      </c>
      <c r="D139" s="89" t="s">
        <v>154</v>
      </c>
      <c r="E139" s="89">
        <v>3</v>
      </c>
      <c r="F139" s="89" t="s">
        <v>155</v>
      </c>
      <c r="G139" s="89" t="s">
        <v>41</v>
      </c>
      <c r="H139" s="92">
        <v>46054</v>
      </c>
      <c r="I139" s="103">
        <v>6485232.4800000004</v>
      </c>
      <c r="J139" s="94">
        <v>15132209.129999999</v>
      </c>
      <c r="K139" s="94">
        <v>15132209.129999999</v>
      </c>
      <c r="L139" s="89" t="s">
        <v>235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56"/>
        <v>0</v>
      </c>
      <c r="V139" s="94">
        <f t="shared" si="57"/>
        <v>0</v>
      </c>
      <c r="W139" s="94">
        <f t="shared" si="63"/>
        <v>0</v>
      </c>
      <c r="X139" s="94"/>
      <c r="Y139" s="94"/>
      <c r="Z139" s="94"/>
      <c r="AA139" s="94">
        <f t="shared" si="58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9"/>
        <v>0</v>
      </c>
      <c r="AJ139" s="94">
        <f t="shared" si="60"/>
        <v>0</v>
      </c>
      <c r="AK139" s="90" t="str">
        <f t="shared" si="41"/>
        <v>Pendiente</v>
      </c>
    </row>
    <row r="140" spans="1:37" ht="15" hidden="1" customHeight="1" x14ac:dyDescent="0.35">
      <c r="A140" s="10" t="s">
        <v>79</v>
      </c>
      <c r="B140" s="14" t="s">
        <v>80</v>
      </c>
      <c r="C140" s="10" t="s">
        <v>81</v>
      </c>
      <c r="D140" s="89" t="s">
        <v>154</v>
      </c>
      <c r="E140" s="89">
        <v>3</v>
      </c>
      <c r="F140" s="89" t="s">
        <v>157</v>
      </c>
      <c r="G140" s="89" t="s">
        <v>48</v>
      </c>
      <c r="H140" s="92">
        <v>46113</v>
      </c>
      <c r="I140" s="103"/>
      <c r="J140" s="94">
        <v>3837207.0300000003</v>
      </c>
      <c r="K140" s="94">
        <v>3837207.0300000003</v>
      </c>
      <c r="L140" s="89" t="s">
        <v>235</v>
      </c>
      <c r="M140" s="10"/>
      <c r="N140" s="11"/>
      <c r="O140" s="12"/>
      <c r="P140" s="10"/>
      <c r="Q140" s="7"/>
      <c r="R140" s="10"/>
      <c r="S140" s="94"/>
      <c r="T140" s="94"/>
      <c r="U140" s="94">
        <f t="shared" si="56"/>
        <v>0</v>
      </c>
      <c r="V140" s="94">
        <f t="shared" si="57"/>
        <v>0</v>
      </c>
      <c r="W140" s="94">
        <f t="shared" si="63"/>
        <v>0</v>
      </c>
      <c r="X140" s="94"/>
      <c r="Y140" s="94"/>
      <c r="Z140" s="94"/>
      <c r="AA140" s="94">
        <f t="shared" si="58"/>
        <v>0</v>
      </c>
      <c r="AB140" s="10"/>
      <c r="AC140" s="94"/>
      <c r="AD140" s="10"/>
      <c r="AE140" s="94"/>
      <c r="AF140" s="10"/>
      <c r="AG140" s="94"/>
      <c r="AH140" s="94"/>
      <c r="AI140" s="94">
        <f>+AC140+AE140+AG140+AH140</f>
        <v>0</v>
      </c>
      <c r="AJ140" s="94">
        <f t="shared" si="60"/>
        <v>0</v>
      </c>
      <c r="AK140" s="90" t="str">
        <f t="shared" si="41"/>
        <v>Pendiente</v>
      </c>
    </row>
    <row r="141" spans="1:37" ht="15" hidden="1" customHeight="1" x14ac:dyDescent="0.35">
      <c r="A141" s="10" t="s">
        <v>79</v>
      </c>
      <c r="B141" s="14" t="s">
        <v>80</v>
      </c>
      <c r="C141" s="10" t="s">
        <v>81</v>
      </c>
      <c r="D141" s="89" t="s">
        <v>159</v>
      </c>
      <c r="E141" s="89">
        <v>3</v>
      </c>
      <c r="F141" s="89" t="s">
        <v>160</v>
      </c>
      <c r="G141" s="89" t="s">
        <v>41</v>
      </c>
      <c r="H141" s="92">
        <v>46054</v>
      </c>
      <c r="I141" s="103">
        <v>2072393.14</v>
      </c>
      <c r="J141" s="94">
        <v>3174561.1100000003</v>
      </c>
      <c r="K141" s="94">
        <v>3174561.1100000003</v>
      </c>
      <c r="L141" s="89" t="s">
        <v>235</v>
      </c>
      <c r="M141" s="10"/>
      <c r="N141" s="11"/>
      <c r="O141" s="12"/>
      <c r="P141" s="10"/>
      <c r="Q141" s="7"/>
      <c r="R141" s="10"/>
      <c r="S141" s="94"/>
      <c r="T141" s="94"/>
      <c r="U141" s="94">
        <f t="shared" si="56"/>
        <v>0</v>
      </c>
      <c r="V141" s="94">
        <f t="shared" si="57"/>
        <v>0</v>
      </c>
      <c r="W141" s="94">
        <f t="shared" si="63"/>
        <v>0</v>
      </c>
      <c r="X141" s="94"/>
      <c r="Y141" s="94"/>
      <c r="Z141" s="94"/>
      <c r="AA141" s="94">
        <f t="shared" si="58"/>
        <v>0</v>
      </c>
      <c r="AB141" s="10"/>
      <c r="AC141" s="94"/>
      <c r="AD141" s="10"/>
      <c r="AE141" s="94"/>
      <c r="AF141" s="10"/>
      <c r="AG141" s="94"/>
      <c r="AH141" s="94"/>
      <c r="AI141" s="94">
        <f t="shared" si="59"/>
        <v>0</v>
      </c>
      <c r="AJ141" s="94">
        <f t="shared" si="60"/>
        <v>0</v>
      </c>
      <c r="AK141" s="90" t="str">
        <f t="shared" si="41"/>
        <v>Pendiente</v>
      </c>
    </row>
    <row r="142" spans="1:37" ht="15" hidden="1" customHeight="1" x14ac:dyDescent="0.35">
      <c r="A142" s="10" t="s">
        <v>115</v>
      </c>
      <c r="B142" s="14" t="s">
        <v>80</v>
      </c>
      <c r="C142" s="10" t="s">
        <v>116</v>
      </c>
      <c r="D142" s="89" t="s">
        <v>116</v>
      </c>
      <c r="E142" s="89">
        <v>5</v>
      </c>
      <c r="F142" s="89" t="s">
        <v>40</v>
      </c>
      <c r="G142" s="89" t="s">
        <v>243</v>
      </c>
      <c r="H142" s="92">
        <v>46113</v>
      </c>
      <c r="I142" s="103"/>
      <c r="J142" s="94">
        <v>39705729.75</v>
      </c>
      <c r="K142" s="94">
        <v>39705729.75</v>
      </c>
      <c r="L142" s="89" t="s">
        <v>235</v>
      </c>
      <c r="M142" s="10"/>
      <c r="N142" s="11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63"/>
        <v>0</v>
      </c>
      <c r="X142" s="94">
        <f>IF(A142="00-175",S142*0.06,0)</f>
        <v>0</v>
      </c>
      <c r="Y142" s="94"/>
      <c r="Z142" s="94"/>
      <c r="AA142" s="94">
        <f t="shared" si="58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59"/>
        <v>0</v>
      </c>
      <c r="AJ142" s="94">
        <f t="shared" si="60"/>
        <v>0</v>
      </c>
      <c r="AK142" s="90" t="str">
        <f t="shared" si="41"/>
        <v>Pendiente</v>
      </c>
    </row>
    <row r="143" spans="1:37" ht="15" hidden="1" customHeight="1" x14ac:dyDescent="0.35">
      <c r="A143" s="10" t="s">
        <v>115</v>
      </c>
      <c r="B143" s="14" t="s">
        <v>80</v>
      </c>
      <c r="C143" s="10" t="s">
        <v>116</v>
      </c>
      <c r="D143" s="89" t="s">
        <v>116</v>
      </c>
      <c r="E143" s="89">
        <v>5</v>
      </c>
      <c r="F143" s="89" t="s">
        <v>71</v>
      </c>
      <c r="G143" s="89" t="s">
        <v>48</v>
      </c>
      <c r="H143" s="92">
        <v>46113</v>
      </c>
      <c r="I143" s="103"/>
      <c r="J143" s="94">
        <v>6790665.1200000001</v>
      </c>
      <c r="K143" s="94">
        <v>6790665.1200000001</v>
      </c>
      <c r="L143" s="89" t="s">
        <v>235</v>
      </c>
      <c r="M143" s="10"/>
      <c r="N143" s="11"/>
      <c r="O143" s="12"/>
      <c r="P143" s="10"/>
      <c r="Q143" s="10"/>
      <c r="R143" s="10"/>
      <c r="S143" s="94"/>
      <c r="T143" s="94"/>
      <c r="U143" s="94">
        <f t="shared" si="56"/>
        <v>0</v>
      </c>
      <c r="V143" s="94">
        <f t="shared" si="57"/>
        <v>0</v>
      </c>
      <c r="W143" s="94">
        <f t="shared" si="63"/>
        <v>0</v>
      </c>
      <c r="X143" s="94">
        <f>IF(A143="00-175",S143*0.06,0)</f>
        <v>0</v>
      </c>
      <c r="Y143" s="94"/>
      <c r="Z143" s="94"/>
      <c r="AA143" s="94">
        <f t="shared" si="58"/>
        <v>0</v>
      </c>
      <c r="AB143" s="10"/>
      <c r="AC143" s="94"/>
      <c r="AD143" s="10"/>
      <c r="AE143" s="94"/>
      <c r="AF143" s="10"/>
      <c r="AG143" s="94"/>
      <c r="AH143" s="94"/>
      <c r="AI143" s="94">
        <f t="shared" si="59"/>
        <v>0</v>
      </c>
      <c r="AJ143" s="94">
        <f t="shared" si="60"/>
        <v>0</v>
      </c>
      <c r="AK143" s="90" t="str">
        <f t="shared" si="41"/>
        <v>Pendiente</v>
      </c>
    </row>
    <row r="144" spans="1:37" ht="15" hidden="1" customHeight="1" x14ac:dyDescent="0.35">
      <c r="A144" s="10" t="s">
        <v>130</v>
      </c>
      <c r="B144" s="14" t="s">
        <v>131</v>
      </c>
      <c r="C144" s="10" t="s">
        <v>132</v>
      </c>
      <c r="D144" s="89" t="s">
        <v>133</v>
      </c>
      <c r="E144" s="89">
        <v>5</v>
      </c>
      <c r="F144" s="89" t="s">
        <v>244</v>
      </c>
      <c r="G144" s="89" t="s">
        <v>41</v>
      </c>
      <c r="H144" s="92">
        <v>46113</v>
      </c>
      <c r="I144" s="103"/>
      <c r="J144" s="94">
        <v>1129430905.9200001</v>
      </c>
      <c r="K144" s="94">
        <v>1129430905.9200001</v>
      </c>
      <c r="L144" s="89" t="s">
        <v>235</v>
      </c>
      <c r="M144" s="10"/>
      <c r="N144" s="33"/>
      <c r="O144" s="12"/>
      <c r="P144" s="10"/>
      <c r="Q144" s="10"/>
      <c r="R144" s="10"/>
      <c r="S144" s="94"/>
      <c r="T144" s="94"/>
      <c r="U144" s="94">
        <f t="shared" ref="U144:U145" si="64">+S144*21%</f>
        <v>0</v>
      </c>
      <c r="V144" s="94">
        <f t="shared" ref="V144:V145" si="65">+S144*3%</f>
        <v>0</v>
      </c>
      <c r="W144" s="94">
        <f t="shared" ref="W144:W145" si="66">+S144*2.5%</f>
        <v>0</v>
      </c>
      <c r="X144" s="94">
        <f t="shared" ref="X144:X145" si="67">IF(A144="00-175",S144*0.06,0)</f>
        <v>0</v>
      </c>
      <c r="Y144" s="94"/>
      <c r="Z144" s="94"/>
      <c r="AA144" s="94">
        <f t="shared" ref="AA144:AA145" si="68">+S144+T144+U144+W144+X144+V144+Y144</f>
        <v>0</v>
      </c>
      <c r="AB144" s="10"/>
      <c r="AC144" s="94"/>
      <c r="AD144" s="10"/>
      <c r="AE144" s="94"/>
      <c r="AF144" s="10"/>
      <c r="AG144" s="94"/>
      <c r="AH144" s="94"/>
      <c r="AI144" s="94">
        <f t="shared" ref="AI144:AI145" si="69">+AC144+AE144+AG144+AH144</f>
        <v>0</v>
      </c>
      <c r="AJ144" s="94">
        <f t="shared" ref="AJ144:AJ145" si="70">+AA144-AI144</f>
        <v>0</v>
      </c>
      <c r="AK144" s="90" t="str">
        <f t="shared" si="41"/>
        <v>Pendiente</v>
      </c>
    </row>
    <row r="145" spans="1:37" ht="15" hidden="1" customHeight="1" x14ac:dyDescent="0.35">
      <c r="A145" s="27" t="s">
        <v>130</v>
      </c>
      <c r="B145" s="27" t="s">
        <v>131</v>
      </c>
      <c r="C145" s="10" t="s">
        <v>132</v>
      </c>
      <c r="D145" s="89" t="s">
        <v>133</v>
      </c>
      <c r="E145" s="89">
        <v>5</v>
      </c>
      <c r="F145" s="89" t="s">
        <v>245</v>
      </c>
      <c r="G145" s="89" t="s">
        <v>48</v>
      </c>
      <c r="H145" s="92">
        <v>46113</v>
      </c>
      <c r="I145" s="103"/>
      <c r="J145" s="94">
        <v>33310575.469999999</v>
      </c>
      <c r="K145" s="94">
        <v>33310575.469999999</v>
      </c>
      <c r="L145" s="89" t="s">
        <v>235</v>
      </c>
      <c r="M145" s="27"/>
      <c r="N145" s="33"/>
      <c r="O145" s="12"/>
      <c r="P145" s="10"/>
      <c r="Q145" s="10"/>
      <c r="R145" s="10"/>
      <c r="S145" s="94"/>
      <c r="T145" s="94"/>
      <c r="U145" s="94">
        <f t="shared" si="64"/>
        <v>0</v>
      </c>
      <c r="V145" s="94">
        <f t="shared" si="65"/>
        <v>0</v>
      </c>
      <c r="W145" s="94">
        <f t="shared" si="66"/>
        <v>0</v>
      </c>
      <c r="X145" s="94">
        <f t="shared" si="67"/>
        <v>0</v>
      </c>
      <c r="Y145" s="94"/>
      <c r="Z145" s="94"/>
      <c r="AA145" s="94">
        <f t="shared" si="68"/>
        <v>0</v>
      </c>
      <c r="AB145" s="10"/>
      <c r="AC145" s="94"/>
      <c r="AD145" s="10"/>
      <c r="AE145" s="94"/>
      <c r="AF145" s="10"/>
      <c r="AG145" s="94"/>
      <c r="AH145" s="94"/>
      <c r="AI145" s="94">
        <f t="shared" si="69"/>
        <v>0</v>
      </c>
      <c r="AJ145" s="94">
        <f t="shared" si="70"/>
        <v>0</v>
      </c>
      <c r="AK145" s="90" t="str">
        <f t="shared" si="41"/>
        <v>Pendiente</v>
      </c>
    </row>
    <row r="146" spans="1:37" ht="15" hidden="1" customHeight="1" x14ac:dyDescent="0.35">
      <c r="A146" s="27" t="s">
        <v>246</v>
      </c>
      <c r="B146" s="27" t="s">
        <v>247</v>
      </c>
      <c r="C146" s="27" t="s">
        <v>247</v>
      </c>
      <c r="D146" s="27" t="s">
        <v>247</v>
      </c>
      <c r="E146" s="89" t="s">
        <v>248</v>
      </c>
      <c r="F146" s="89" t="s">
        <v>248</v>
      </c>
      <c r="G146" s="89" t="s">
        <v>248</v>
      </c>
      <c r="H146" s="89" t="s">
        <v>248</v>
      </c>
      <c r="I146" s="103"/>
      <c r="J146" s="94">
        <v>4365000</v>
      </c>
      <c r="K146" s="94">
        <v>4365000</v>
      </c>
      <c r="L146" s="89" t="s">
        <v>42</v>
      </c>
      <c r="M146" s="27" t="s">
        <v>64</v>
      </c>
      <c r="N146" s="28">
        <v>2566</v>
      </c>
      <c r="O146" s="12">
        <v>46038</v>
      </c>
      <c r="P146" s="27" t="s">
        <v>249</v>
      </c>
      <c r="Q146" s="17" t="s">
        <v>45</v>
      </c>
      <c r="R146" s="17" t="s">
        <v>46</v>
      </c>
      <c r="S146" s="94">
        <f>+J146</f>
        <v>4365000</v>
      </c>
      <c r="T146" s="94"/>
      <c r="U146" s="94">
        <f>+S146*21%</f>
        <v>916650</v>
      </c>
      <c r="V146" s="94">
        <f>+S146*3%</f>
        <v>130950</v>
      </c>
      <c r="W146" s="94">
        <f>+S146*1.5%</f>
        <v>65475</v>
      </c>
      <c r="X146" s="94">
        <f>IF(A146="00-175",S146*0.06,0)</f>
        <v>0</v>
      </c>
      <c r="Y146" s="94"/>
      <c r="Z146" s="94"/>
      <c r="AA146" s="94">
        <f>+S146+T146+U146+W146+X146+V146+Y146</f>
        <v>5478075</v>
      </c>
      <c r="AB146" s="29">
        <v>46045</v>
      </c>
      <c r="AC146" s="94">
        <v>5216847</v>
      </c>
      <c r="AD146" s="98"/>
      <c r="AE146" s="94"/>
      <c r="AF146" s="27"/>
      <c r="AG146" s="94"/>
      <c r="AH146" s="94">
        <v>261228</v>
      </c>
      <c r="AI146" s="94">
        <f t="shared" ref="AI146:AI177" si="71">+AC146+AE146+AG146+AH146</f>
        <v>5478075</v>
      </c>
      <c r="AJ146" s="94">
        <f t="shared" ref="AJ146:AJ177" si="72">+AA146-AI146</f>
        <v>0</v>
      </c>
      <c r="AK146" s="90">
        <f t="shared" si="41"/>
        <v>7</v>
      </c>
    </row>
    <row r="147" spans="1:37" ht="15" hidden="1" customHeight="1" x14ac:dyDescent="0.35">
      <c r="A147" s="10" t="s">
        <v>250</v>
      </c>
      <c r="B147" s="10" t="s">
        <v>251</v>
      </c>
      <c r="C147" s="10" t="s">
        <v>252</v>
      </c>
      <c r="D147" s="89" t="s">
        <v>248</v>
      </c>
      <c r="E147" s="89" t="s">
        <v>248</v>
      </c>
      <c r="F147" s="89" t="s">
        <v>253</v>
      </c>
      <c r="G147" s="89" t="s">
        <v>254</v>
      </c>
      <c r="H147" s="92" t="s">
        <v>248</v>
      </c>
      <c r="I147" s="103"/>
      <c r="J147" s="94"/>
      <c r="K147" s="94"/>
      <c r="L147" s="89" t="s">
        <v>42</v>
      </c>
      <c r="M147" s="10" t="s">
        <v>64</v>
      </c>
      <c r="N147" s="11">
        <v>2622</v>
      </c>
      <c r="O147" s="12">
        <v>46163</v>
      </c>
      <c r="P147" s="10" t="s">
        <v>255</v>
      </c>
      <c r="Q147" s="7" t="s">
        <v>45</v>
      </c>
      <c r="R147" s="10" t="s">
        <v>46</v>
      </c>
      <c r="S147" s="94">
        <v>58652154.079999998</v>
      </c>
      <c r="T147" s="94">
        <v>0</v>
      </c>
      <c r="U147" s="94">
        <v>5162603.25</v>
      </c>
      <c r="V147" s="94">
        <v>0</v>
      </c>
      <c r="W147" s="94">
        <v>0</v>
      </c>
      <c r="X147" s="94">
        <v>0</v>
      </c>
      <c r="Y147" s="94">
        <v>0</v>
      </c>
      <c r="Z147" s="94">
        <v>0</v>
      </c>
      <c r="AA147" s="94">
        <f>+S147+T147+U147+W147+X147+V147+Y147</f>
        <v>63814757.329999998</v>
      </c>
      <c r="AB147" s="12">
        <v>46164</v>
      </c>
      <c r="AC147" s="10">
        <v>63814757.329999998</v>
      </c>
      <c r="AD147" s="10"/>
      <c r="AE147" s="94"/>
      <c r="AF147" s="10"/>
      <c r="AG147" s="94"/>
      <c r="AH147" s="94"/>
      <c r="AI147" s="94">
        <f t="shared" si="71"/>
        <v>63814757.329999998</v>
      </c>
      <c r="AJ147" s="94">
        <f t="shared" si="72"/>
        <v>0</v>
      </c>
      <c r="AK147" s="90">
        <f t="shared" si="41"/>
        <v>1</v>
      </c>
    </row>
    <row r="148" spans="1:37" ht="15" customHeight="1" x14ac:dyDescent="0.35">
      <c r="A148" s="7" t="s">
        <v>37</v>
      </c>
      <c r="B148" s="10" t="s">
        <v>38</v>
      </c>
      <c r="C148" s="7" t="s">
        <v>39</v>
      </c>
      <c r="D148" s="89"/>
      <c r="E148" s="89"/>
      <c r="F148" s="89"/>
      <c r="G148" s="89" t="s">
        <v>41</v>
      </c>
      <c r="H148" s="92">
        <v>45809</v>
      </c>
      <c r="I148" s="103"/>
      <c r="J148" s="94">
        <v>0</v>
      </c>
      <c r="K148" s="94">
        <v>0</v>
      </c>
      <c r="L148" s="89"/>
      <c r="M148" s="7" t="s">
        <v>43</v>
      </c>
      <c r="N148" s="7">
        <v>2007</v>
      </c>
      <c r="O148" s="13">
        <v>46041</v>
      </c>
      <c r="P148" s="7" t="s">
        <v>256</v>
      </c>
      <c r="Q148" s="7" t="s">
        <v>194</v>
      </c>
      <c r="R148" s="7">
        <v>190</v>
      </c>
      <c r="S148" s="94">
        <f t="shared" ref="S148:S153" si="73">+J148</f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</f>
        <v>0</v>
      </c>
      <c r="AB148" s="7"/>
      <c r="AC148" s="94"/>
      <c r="AD148" s="7"/>
      <c r="AE148" s="94"/>
      <c r="AF148" s="7"/>
      <c r="AG148" s="94"/>
      <c r="AH148" s="94"/>
      <c r="AI148" s="94">
        <f t="shared" si="71"/>
        <v>0</v>
      </c>
      <c r="AJ148" s="94">
        <f t="shared" si="72"/>
        <v>0</v>
      </c>
      <c r="AK148" s="90" t="str">
        <f t="shared" si="41"/>
        <v>N/A</v>
      </c>
    </row>
    <row r="149" spans="1:37" ht="15" customHeight="1" x14ac:dyDescent="0.35">
      <c r="A149" s="7" t="s">
        <v>37</v>
      </c>
      <c r="B149" s="10" t="s">
        <v>38</v>
      </c>
      <c r="C149" s="7" t="s">
        <v>39</v>
      </c>
      <c r="D149" s="89"/>
      <c r="E149" s="89"/>
      <c r="F149" s="89"/>
      <c r="G149" s="89" t="s">
        <v>48</v>
      </c>
      <c r="H149" s="92">
        <v>45962</v>
      </c>
      <c r="I149" s="103"/>
      <c r="J149" s="94">
        <v>0</v>
      </c>
      <c r="K149" s="94">
        <v>0</v>
      </c>
      <c r="L149" s="89"/>
      <c r="M149" s="7" t="s">
        <v>43</v>
      </c>
      <c r="N149" s="7">
        <v>2009</v>
      </c>
      <c r="O149" s="13">
        <v>46051</v>
      </c>
      <c r="P149" s="7" t="s">
        <v>257</v>
      </c>
      <c r="Q149" s="7" t="s">
        <v>194</v>
      </c>
      <c r="R149" s="7">
        <v>191</v>
      </c>
      <c r="S149" s="94">
        <f t="shared" si="73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7"/>
      <c r="AC149" s="94"/>
      <c r="AD149" s="7"/>
      <c r="AE149" s="94"/>
      <c r="AF149" s="7"/>
      <c r="AG149" s="94"/>
      <c r="AH149" s="94"/>
      <c r="AI149" s="94">
        <f t="shared" si="71"/>
        <v>0</v>
      </c>
      <c r="AJ149" s="94">
        <f t="shared" si="72"/>
        <v>0</v>
      </c>
      <c r="AK149" s="90" t="str">
        <f t="shared" si="41"/>
        <v>N/A</v>
      </c>
    </row>
    <row r="150" spans="1:37" ht="15" customHeight="1" x14ac:dyDescent="0.35">
      <c r="A150" s="10" t="s">
        <v>37</v>
      </c>
      <c r="B150" s="10" t="s">
        <v>38</v>
      </c>
      <c r="C150" s="10" t="s">
        <v>39</v>
      </c>
      <c r="D150" s="89"/>
      <c r="E150" s="89"/>
      <c r="F150" s="89"/>
      <c r="G150" s="89" t="s">
        <v>41</v>
      </c>
      <c r="H150" s="92">
        <v>46023</v>
      </c>
      <c r="I150" s="103"/>
      <c r="J150" s="94">
        <v>0</v>
      </c>
      <c r="K150" s="94">
        <v>0</v>
      </c>
      <c r="L150" s="89"/>
      <c r="M150" s="10" t="s">
        <v>43</v>
      </c>
      <c r="N150" s="11">
        <v>2013</v>
      </c>
      <c r="O150" s="12">
        <v>46056</v>
      </c>
      <c r="P150" s="10" t="s">
        <v>258</v>
      </c>
      <c r="Q150" s="7" t="s">
        <v>194</v>
      </c>
      <c r="R150" s="10">
        <v>197</v>
      </c>
      <c r="S150" s="94">
        <f t="shared" si="73"/>
        <v>0</v>
      </c>
      <c r="T150" s="94"/>
      <c r="U150" s="94">
        <v>0</v>
      </c>
      <c r="V150" s="94">
        <v>0</v>
      </c>
      <c r="W150" s="94">
        <f>IF(A150="00-175",U150*0.003,U150*0.025)</f>
        <v>0</v>
      </c>
      <c r="X150" s="94">
        <f>IF(A150="00-175",U150*0.06,0)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71"/>
        <v>0</v>
      </c>
      <c r="AJ150" s="94">
        <f t="shared" si="72"/>
        <v>0</v>
      </c>
      <c r="AK150" s="90" t="str">
        <f t="shared" si="41"/>
        <v>N/A</v>
      </c>
    </row>
    <row r="151" spans="1:37" ht="15" customHeight="1" x14ac:dyDescent="0.35">
      <c r="A151" s="10" t="s">
        <v>37</v>
      </c>
      <c r="B151" s="10" t="s">
        <v>38</v>
      </c>
      <c r="C151" s="10" t="s">
        <v>39</v>
      </c>
      <c r="D151" s="89"/>
      <c r="E151" s="89"/>
      <c r="F151" s="89"/>
      <c r="G151" s="89" t="s">
        <v>48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43</v>
      </c>
      <c r="N151" s="11">
        <v>2014</v>
      </c>
      <c r="O151" s="12">
        <v>46059</v>
      </c>
      <c r="P151" s="10" t="s">
        <v>259</v>
      </c>
      <c r="Q151" s="7" t="s">
        <v>194</v>
      </c>
      <c r="R151" s="10">
        <v>198</v>
      </c>
      <c r="S151" s="94">
        <f t="shared" si="73"/>
        <v>0</v>
      </c>
      <c r="T151" s="94"/>
      <c r="U151" s="94">
        <v>0</v>
      </c>
      <c r="V151" s="94">
        <v>0</v>
      </c>
      <c r="W151" s="94">
        <f>IF(A151="00-175",U151*0.003,U151*0.025)</f>
        <v>0</v>
      </c>
      <c r="X151" s="94">
        <f>IF(A151="00-175",U151*0.06,0)</f>
        <v>0</v>
      </c>
      <c r="Y151" s="94">
        <v>0</v>
      </c>
      <c r="Z151" s="94"/>
      <c r="AA151" s="94">
        <f>+S151+T151+U151+W151+X151+V151+Y151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71"/>
        <v>0</v>
      </c>
      <c r="AJ151" s="94">
        <f t="shared" si="72"/>
        <v>0</v>
      </c>
      <c r="AK151" s="90" t="str">
        <f t="shared" si="41"/>
        <v>N/A</v>
      </c>
    </row>
    <row r="152" spans="1:37" ht="15" customHeight="1" x14ac:dyDescent="0.35">
      <c r="A152" s="10" t="s">
        <v>37</v>
      </c>
      <c r="B152" s="10" t="s">
        <v>38</v>
      </c>
      <c r="C152" s="10" t="s">
        <v>39</v>
      </c>
      <c r="D152" s="89"/>
      <c r="E152" s="89"/>
      <c r="F152" s="89"/>
      <c r="G152" s="89" t="s">
        <v>48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43</v>
      </c>
      <c r="N152" s="11">
        <v>2016</v>
      </c>
      <c r="O152" s="12">
        <v>46098</v>
      </c>
      <c r="P152" s="10" t="s">
        <v>260</v>
      </c>
      <c r="Q152" s="7" t="s">
        <v>194</v>
      </c>
      <c r="R152" s="10">
        <v>199</v>
      </c>
      <c r="S152" s="94">
        <f t="shared" si="73"/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>+S152+T152+U152+W152+X152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71"/>
        <v>0</v>
      </c>
      <c r="AJ152" s="94">
        <f t="shared" si="72"/>
        <v>0</v>
      </c>
      <c r="AK152" s="90" t="str">
        <f t="shared" si="41"/>
        <v>N/A</v>
      </c>
    </row>
    <row r="153" spans="1:37" ht="15" customHeight="1" x14ac:dyDescent="0.35">
      <c r="A153" s="10" t="s">
        <v>37</v>
      </c>
      <c r="B153" s="10" t="s">
        <v>38</v>
      </c>
      <c r="C153" s="10" t="s">
        <v>39</v>
      </c>
      <c r="D153" s="89"/>
      <c r="E153" s="89"/>
      <c r="F153" s="89"/>
      <c r="G153" s="89" t="s">
        <v>48</v>
      </c>
      <c r="H153" s="92">
        <v>46054</v>
      </c>
      <c r="I153" s="103"/>
      <c r="J153" s="94">
        <v>0</v>
      </c>
      <c r="K153" s="94">
        <v>0</v>
      </c>
      <c r="L153" s="89"/>
      <c r="M153" s="10" t="s">
        <v>43</v>
      </c>
      <c r="N153" s="11">
        <v>2020</v>
      </c>
      <c r="O153" s="12">
        <v>46122</v>
      </c>
      <c r="P153" s="10" t="s">
        <v>214</v>
      </c>
      <c r="Q153" s="7" t="s">
        <v>194</v>
      </c>
      <c r="R153" s="10">
        <v>192</v>
      </c>
      <c r="S153" s="94">
        <f t="shared" si="73"/>
        <v>0</v>
      </c>
      <c r="T153" s="94"/>
      <c r="U153" s="94">
        <v>0</v>
      </c>
      <c r="V153" s="94">
        <v>0</v>
      </c>
      <c r="W153" s="94">
        <v>0</v>
      </c>
      <c r="X153" s="94">
        <f>IF(A153="00-175",S153*0.06,0)</f>
        <v>0</v>
      </c>
      <c r="Y153" s="94">
        <v>0</v>
      </c>
      <c r="Z153" s="94"/>
      <c r="AA153" s="94">
        <f>+S153+T153+U153+W153+X153</f>
        <v>0</v>
      </c>
      <c r="AB153" s="10"/>
      <c r="AC153" s="94"/>
      <c r="AD153" s="10"/>
      <c r="AE153" s="94"/>
      <c r="AF153" s="10"/>
      <c r="AG153" s="94"/>
      <c r="AH153" s="94"/>
      <c r="AI153" s="94">
        <f t="shared" si="71"/>
        <v>0</v>
      </c>
      <c r="AJ153" s="94">
        <f t="shared" si="72"/>
        <v>0</v>
      </c>
      <c r="AK153" s="90" t="str">
        <f t="shared" si="41"/>
        <v>N/A</v>
      </c>
    </row>
    <row r="154" spans="1:37" ht="15" customHeight="1" x14ac:dyDescent="0.35">
      <c r="A154" s="10" t="s">
        <v>37</v>
      </c>
      <c r="B154" s="10" t="s">
        <v>38</v>
      </c>
      <c r="C154" s="10" t="s">
        <v>39</v>
      </c>
      <c r="D154" s="89"/>
      <c r="E154" s="89"/>
      <c r="F154" s="89"/>
      <c r="G154" s="89" t="s">
        <v>41</v>
      </c>
      <c r="H154" s="92">
        <v>46023</v>
      </c>
      <c r="I154" s="103"/>
      <c r="J154" s="94">
        <v>0</v>
      </c>
      <c r="K154" s="94">
        <v>0</v>
      </c>
      <c r="L154" s="89"/>
      <c r="M154" s="10" t="s">
        <v>43</v>
      </c>
      <c r="N154" s="11">
        <v>2022</v>
      </c>
      <c r="O154" s="12">
        <v>46141</v>
      </c>
      <c r="P154" s="10" t="s">
        <v>258</v>
      </c>
      <c r="Q154" s="7" t="s">
        <v>194</v>
      </c>
      <c r="R154" s="10">
        <v>201</v>
      </c>
      <c r="S154" s="94">
        <v>0</v>
      </c>
      <c r="T154" s="94"/>
      <c r="U154" s="94">
        <v>0</v>
      </c>
      <c r="V154" s="94">
        <v>0</v>
      </c>
      <c r="W154" s="94">
        <v>0</v>
      </c>
      <c r="X154" s="94">
        <f>IF(A154="00-175",S154*0.06,0)</f>
        <v>0</v>
      </c>
      <c r="Y154" s="94">
        <v>0</v>
      </c>
      <c r="Z154" s="94"/>
      <c r="AA154" s="94">
        <f>+S154+T154+U154+W154+X154</f>
        <v>0</v>
      </c>
      <c r="AB154" s="10"/>
      <c r="AC154" s="94"/>
      <c r="AD154" s="10"/>
      <c r="AE154" s="94"/>
      <c r="AF154" s="10"/>
      <c r="AG154" s="94"/>
      <c r="AH154" s="94"/>
      <c r="AI154" s="94">
        <f t="shared" si="71"/>
        <v>0</v>
      </c>
      <c r="AJ154" s="94">
        <f t="shared" si="72"/>
        <v>0</v>
      </c>
      <c r="AK154" s="90" t="str">
        <f t="shared" si="41"/>
        <v>N/A</v>
      </c>
    </row>
    <row r="155" spans="1:37" ht="15" customHeight="1" x14ac:dyDescent="0.35">
      <c r="A155" s="10" t="s">
        <v>37</v>
      </c>
      <c r="B155" s="10" t="s">
        <v>38</v>
      </c>
      <c r="C155" s="10" t="s">
        <v>39</v>
      </c>
      <c r="D155" s="89"/>
      <c r="E155" s="89"/>
      <c r="F155" s="89"/>
      <c r="G155" s="89" t="s">
        <v>48</v>
      </c>
      <c r="H155" s="92">
        <v>46023</v>
      </c>
      <c r="I155" s="103"/>
      <c r="J155" s="94">
        <v>0</v>
      </c>
      <c r="K155" s="94">
        <v>0</v>
      </c>
      <c r="L155" s="89"/>
      <c r="M155" s="10" t="s">
        <v>43</v>
      </c>
      <c r="N155" s="11">
        <v>2023</v>
      </c>
      <c r="O155" s="12">
        <v>46142</v>
      </c>
      <c r="P155" s="10" t="s">
        <v>259</v>
      </c>
      <c r="Q155" s="7" t="s">
        <v>194</v>
      </c>
      <c r="R155" s="10">
        <v>203</v>
      </c>
      <c r="S155" s="94">
        <f>+J155</f>
        <v>0</v>
      </c>
      <c r="T155" s="94"/>
      <c r="U155" s="94">
        <v>0</v>
      </c>
      <c r="V155" s="94">
        <v>0</v>
      </c>
      <c r="W155" s="94">
        <f>IF(A155="00-175",U155*0.003,U155*0.025)</f>
        <v>0</v>
      </c>
      <c r="X155" s="94">
        <f>IF(A155="00-175",U155*0.06,0)</f>
        <v>0</v>
      </c>
      <c r="Y155" s="94">
        <v>0</v>
      </c>
      <c r="Z155" s="94"/>
      <c r="AA155" s="94">
        <f t="shared" ref="AA155:AA196" si="74">+S155+T155+U155+W155+X155+V155+Y155</f>
        <v>0</v>
      </c>
      <c r="AB155" s="10"/>
      <c r="AC155" s="94"/>
      <c r="AD155" s="10"/>
      <c r="AE155" s="94"/>
      <c r="AF155" s="10"/>
      <c r="AG155" s="94"/>
      <c r="AH155" s="94"/>
      <c r="AI155" s="94">
        <f t="shared" si="71"/>
        <v>0</v>
      </c>
      <c r="AJ155" s="94">
        <f t="shared" si="72"/>
        <v>0</v>
      </c>
      <c r="AK155" s="90" t="str">
        <f t="shared" si="41"/>
        <v>N/A</v>
      </c>
    </row>
    <row r="156" spans="1:37" ht="15" customHeight="1" x14ac:dyDescent="0.35">
      <c r="A156" s="10" t="s">
        <v>37</v>
      </c>
      <c r="B156" s="10" t="s">
        <v>38</v>
      </c>
      <c r="C156" s="10" t="s">
        <v>39</v>
      </c>
      <c r="D156" s="89"/>
      <c r="E156" s="89"/>
      <c r="F156" s="89"/>
      <c r="G156" s="89" t="s">
        <v>48</v>
      </c>
      <c r="H156" s="92">
        <v>46023</v>
      </c>
      <c r="I156" s="103"/>
      <c r="J156" s="94">
        <v>0</v>
      </c>
      <c r="K156" s="94">
        <v>0</v>
      </c>
      <c r="L156" s="89"/>
      <c r="M156" s="10" t="s">
        <v>43</v>
      </c>
      <c r="N156" s="11">
        <v>2025</v>
      </c>
      <c r="O156" s="12">
        <v>46142</v>
      </c>
      <c r="P156" s="10" t="s">
        <v>169</v>
      </c>
      <c r="Q156" s="7" t="s">
        <v>194</v>
      </c>
      <c r="R156" s="10">
        <v>204</v>
      </c>
      <c r="S156" s="94">
        <v>0</v>
      </c>
      <c r="T156" s="94"/>
      <c r="U156" s="94">
        <v>0</v>
      </c>
      <c r="V156" s="94">
        <v>0</v>
      </c>
      <c r="W156" s="94">
        <v>0</v>
      </c>
      <c r="X156" s="94">
        <f t="shared" ref="X156:X162" si="75">IF(A156="00-175",S156*0.06,0)</f>
        <v>0</v>
      </c>
      <c r="Y156" s="94">
        <v>0</v>
      </c>
      <c r="Z156" s="94"/>
      <c r="AA156" s="94">
        <f t="shared" si="74"/>
        <v>0</v>
      </c>
      <c r="AB156" s="10"/>
      <c r="AC156" s="94"/>
      <c r="AD156" s="10"/>
      <c r="AE156" s="94"/>
      <c r="AF156" s="10"/>
      <c r="AG156" s="94"/>
      <c r="AH156" s="94"/>
      <c r="AI156" s="94">
        <f t="shared" si="71"/>
        <v>0</v>
      </c>
      <c r="AJ156" s="94">
        <f t="shared" si="72"/>
        <v>0</v>
      </c>
      <c r="AK156" s="90" t="str">
        <f t="shared" si="41"/>
        <v>N/A</v>
      </c>
    </row>
    <row r="157" spans="1:37" ht="15" hidden="1" customHeight="1" x14ac:dyDescent="0.35">
      <c r="A157" s="10" t="s">
        <v>261</v>
      </c>
      <c r="B157" s="10" t="s">
        <v>262</v>
      </c>
      <c r="C157" s="10" t="s">
        <v>262</v>
      </c>
      <c r="D157" s="10" t="s">
        <v>262</v>
      </c>
      <c r="E157" s="89" t="s">
        <v>248</v>
      </c>
      <c r="F157" s="89"/>
      <c r="G157" s="89" t="s">
        <v>248</v>
      </c>
      <c r="H157" s="89" t="s">
        <v>248</v>
      </c>
      <c r="I157" s="103"/>
      <c r="J157" s="94">
        <v>10353957.49</v>
      </c>
      <c r="K157" s="94">
        <v>10353957.49</v>
      </c>
      <c r="L157" s="89" t="s">
        <v>42</v>
      </c>
      <c r="M157" s="10" t="s">
        <v>64</v>
      </c>
      <c r="N157" s="11">
        <v>2473</v>
      </c>
      <c r="O157" s="12">
        <v>45712</v>
      </c>
      <c r="P157" s="10" t="s">
        <v>263</v>
      </c>
      <c r="Q157" s="10" t="s">
        <v>45</v>
      </c>
      <c r="R157" s="10" t="s">
        <v>46</v>
      </c>
      <c r="S157" s="94">
        <f t="shared" ref="S157:S188" si="76">+J157</f>
        <v>10353957.49</v>
      </c>
      <c r="T157" s="94"/>
      <c r="U157" s="94">
        <f t="shared" ref="U157:U162" si="77">+S157*21%</f>
        <v>2174331.0729</v>
      </c>
      <c r="V157" s="94">
        <f t="shared" ref="V157:V191" si="78">+S157*3%</f>
        <v>310618.72470000002</v>
      </c>
      <c r="W157" s="94">
        <f>+S157*1.6%</f>
        <v>165663.31984000001</v>
      </c>
      <c r="X157" s="94">
        <f t="shared" si="75"/>
        <v>0</v>
      </c>
      <c r="Y157" s="94"/>
      <c r="Z157" s="94"/>
      <c r="AA157" s="94">
        <f t="shared" si="74"/>
        <v>13004570.607439999</v>
      </c>
      <c r="AB157" s="10"/>
      <c r="AC157" s="94"/>
      <c r="AD157" s="10"/>
      <c r="AE157" s="94"/>
      <c r="AF157" s="10"/>
      <c r="AG157" s="94"/>
      <c r="AH157" s="94"/>
      <c r="AI157" s="94">
        <f t="shared" si="71"/>
        <v>0</v>
      </c>
      <c r="AJ157" s="94">
        <f t="shared" si="72"/>
        <v>13004570.607439999</v>
      </c>
      <c r="AK157" s="90" t="str">
        <f t="shared" si="41"/>
        <v>Pendiente</v>
      </c>
    </row>
    <row r="158" spans="1:37" ht="15" hidden="1" customHeight="1" x14ac:dyDescent="0.35">
      <c r="A158" s="10" t="s">
        <v>261</v>
      </c>
      <c r="B158" s="10" t="s">
        <v>262</v>
      </c>
      <c r="C158" s="10" t="s">
        <v>262</v>
      </c>
      <c r="D158" s="10" t="s">
        <v>262</v>
      </c>
      <c r="E158" s="89" t="s">
        <v>248</v>
      </c>
      <c r="F158" s="89"/>
      <c r="G158" s="89" t="s">
        <v>248</v>
      </c>
      <c r="H158" s="89" t="s">
        <v>248</v>
      </c>
      <c r="I158" s="103"/>
      <c r="J158" s="94">
        <v>12148681.48</v>
      </c>
      <c r="K158" s="94">
        <v>12148681.48</v>
      </c>
      <c r="L158" s="89" t="s">
        <v>42</v>
      </c>
      <c r="M158" s="10" t="s">
        <v>64</v>
      </c>
      <c r="N158" s="11">
        <v>2474</v>
      </c>
      <c r="O158" s="12">
        <v>45715</v>
      </c>
      <c r="P158" s="10" t="s">
        <v>264</v>
      </c>
      <c r="Q158" s="10" t="s">
        <v>45</v>
      </c>
      <c r="R158" s="10" t="s">
        <v>46</v>
      </c>
      <c r="S158" s="94">
        <f t="shared" si="76"/>
        <v>12148681.48</v>
      </c>
      <c r="T158" s="94"/>
      <c r="U158" s="94">
        <f t="shared" si="77"/>
        <v>2551223.1107999999</v>
      </c>
      <c r="V158" s="94">
        <f t="shared" si="78"/>
        <v>364460.44439999998</v>
      </c>
      <c r="W158" s="94">
        <f>+S158*1.6%</f>
        <v>194378.90368000002</v>
      </c>
      <c r="X158" s="94">
        <f t="shared" si="75"/>
        <v>0</v>
      </c>
      <c r="Y158" s="94"/>
      <c r="Z158" s="94"/>
      <c r="AA158" s="94">
        <f t="shared" si="74"/>
        <v>15258743.93888</v>
      </c>
      <c r="AB158" s="10"/>
      <c r="AC158" s="94"/>
      <c r="AD158" s="10"/>
      <c r="AE158" s="94"/>
      <c r="AF158" s="10"/>
      <c r="AG158" s="94"/>
      <c r="AH158" s="94"/>
      <c r="AI158" s="94">
        <f t="shared" si="71"/>
        <v>0</v>
      </c>
      <c r="AJ158" s="94">
        <f t="shared" si="72"/>
        <v>15258743.93888</v>
      </c>
      <c r="AK158" s="90" t="str">
        <f t="shared" si="41"/>
        <v>Pendiente</v>
      </c>
    </row>
    <row r="159" spans="1:37" ht="15" hidden="1" customHeight="1" x14ac:dyDescent="0.35">
      <c r="A159" s="10" t="s">
        <v>261</v>
      </c>
      <c r="B159" s="10" t="s">
        <v>262</v>
      </c>
      <c r="C159" s="10" t="s">
        <v>262</v>
      </c>
      <c r="D159" s="10" t="s">
        <v>262</v>
      </c>
      <c r="E159" s="89" t="s">
        <v>248</v>
      </c>
      <c r="F159" s="89"/>
      <c r="G159" s="89" t="s">
        <v>248</v>
      </c>
      <c r="H159" s="89" t="s">
        <v>248</v>
      </c>
      <c r="I159" s="103"/>
      <c r="J159" s="94">
        <v>12942756.869999999</v>
      </c>
      <c r="K159" s="94">
        <v>12942756.869999999</v>
      </c>
      <c r="L159" s="89" t="s">
        <v>42</v>
      </c>
      <c r="M159" s="10" t="s">
        <v>64</v>
      </c>
      <c r="N159" s="11">
        <v>2478</v>
      </c>
      <c r="O159" s="12">
        <v>45792</v>
      </c>
      <c r="P159" s="10" t="s">
        <v>265</v>
      </c>
      <c r="Q159" s="10" t="s">
        <v>45</v>
      </c>
      <c r="R159" s="10" t="s">
        <v>46</v>
      </c>
      <c r="S159" s="94">
        <f t="shared" si="76"/>
        <v>12942756.869999999</v>
      </c>
      <c r="T159" s="94"/>
      <c r="U159" s="94">
        <f t="shared" si="77"/>
        <v>2717978.9426999995</v>
      </c>
      <c r="V159" s="94">
        <f t="shared" si="78"/>
        <v>388282.70609999995</v>
      </c>
      <c r="W159" s="94">
        <f>+S159*1.6%</f>
        <v>207084.10991999999</v>
      </c>
      <c r="X159" s="94">
        <f t="shared" si="75"/>
        <v>0</v>
      </c>
      <c r="Y159" s="94">
        <f>+(S159+U159+V159+W159)*3.5%</f>
        <v>568963.5920052001</v>
      </c>
      <c r="Z159" s="94"/>
      <c r="AA159" s="94">
        <f t="shared" si="74"/>
        <v>16825066.220725201</v>
      </c>
      <c r="AB159" s="10"/>
      <c r="AC159" s="94"/>
      <c r="AD159" s="10"/>
      <c r="AE159" s="94"/>
      <c r="AF159" s="10"/>
      <c r="AG159" s="94"/>
      <c r="AH159" s="94"/>
      <c r="AI159" s="94">
        <f t="shared" si="71"/>
        <v>0</v>
      </c>
      <c r="AJ159" s="94">
        <f t="shared" si="72"/>
        <v>16825066.220725201</v>
      </c>
      <c r="AK159" s="90" t="str">
        <f t="shared" si="41"/>
        <v>Pendiente</v>
      </c>
    </row>
    <row r="160" spans="1:37" ht="15" hidden="1" customHeight="1" x14ac:dyDescent="0.35">
      <c r="A160" s="10" t="s">
        <v>261</v>
      </c>
      <c r="B160" s="10" t="s">
        <v>262</v>
      </c>
      <c r="C160" s="10" t="s">
        <v>262</v>
      </c>
      <c r="D160" s="10" t="s">
        <v>262</v>
      </c>
      <c r="E160" s="89" t="s">
        <v>248</v>
      </c>
      <c r="F160" s="89"/>
      <c r="G160" s="89" t="s">
        <v>248</v>
      </c>
      <c r="H160" s="89" t="s">
        <v>248</v>
      </c>
      <c r="I160" s="103"/>
      <c r="J160" s="94">
        <v>16152432.75</v>
      </c>
      <c r="K160" s="94">
        <v>16152432.75</v>
      </c>
      <c r="L160" s="89" t="s">
        <v>42</v>
      </c>
      <c r="M160" s="10" t="s">
        <v>64</v>
      </c>
      <c r="N160" s="11">
        <v>2479</v>
      </c>
      <c r="O160" s="12">
        <v>45792</v>
      </c>
      <c r="P160" s="10" t="s">
        <v>266</v>
      </c>
      <c r="Q160" s="10" t="s">
        <v>45</v>
      </c>
      <c r="R160" s="10" t="s">
        <v>46</v>
      </c>
      <c r="S160" s="94">
        <f t="shared" si="76"/>
        <v>16152432.75</v>
      </c>
      <c r="T160" s="94"/>
      <c r="U160" s="94">
        <f t="shared" si="77"/>
        <v>3392010.8774999999</v>
      </c>
      <c r="V160" s="94">
        <f t="shared" si="78"/>
        <v>484572.98249999998</v>
      </c>
      <c r="W160" s="94">
        <f>+S160*1.6%</f>
        <v>258438.924</v>
      </c>
      <c r="X160" s="94">
        <f t="shared" si="75"/>
        <v>0</v>
      </c>
      <c r="Y160" s="94">
        <f>+(S160+U160+V160+W160)*3.5%</f>
        <v>710060.9436900001</v>
      </c>
      <c r="Z160" s="94"/>
      <c r="AA160" s="94">
        <f t="shared" si="74"/>
        <v>20997516.477690004</v>
      </c>
      <c r="AB160" s="10"/>
      <c r="AC160" s="94"/>
      <c r="AD160" s="10"/>
      <c r="AE160" s="94"/>
      <c r="AF160" s="10"/>
      <c r="AG160" s="94"/>
      <c r="AH160" s="94"/>
      <c r="AI160" s="94">
        <f t="shared" si="71"/>
        <v>0</v>
      </c>
      <c r="AJ160" s="94">
        <f t="shared" si="72"/>
        <v>20997516.477690004</v>
      </c>
      <c r="AK160" s="90" t="str">
        <f t="shared" si="41"/>
        <v>Pendiente</v>
      </c>
    </row>
    <row r="161" spans="1:37" ht="15" hidden="1" customHeight="1" x14ac:dyDescent="0.35">
      <c r="A161" s="10" t="s">
        <v>261</v>
      </c>
      <c r="B161" s="10" t="s">
        <v>262</v>
      </c>
      <c r="C161" s="10" t="s">
        <v>262</v>
      </c>
      <c r="D161" s="10" t="s">
        <v>262</v>
      </c>
      <c r="E161" s="89" t="s">
        <v>248</v>
      </c>
      <c r="F161" s="89"/>
      <c r="G161" s="89" t="s">
        <v>248</v>
      </c>
      <c r="H161" s="89" t="s">
        <v>248</v>
      </c>
      <c r="I161" s="103"/>
      <c r="J161" s="94">
        <v>12942808.869999999</v>
      </c>
      <c r="K161" s="94">
        <v>12942808.869999999</v>
      </c>
      <c r="L161" s="89" t="s">
        <v>42</v>
      </c>
      <c r="M161" s="10" t="s">
        <v>64</v>
      </c>
      <c r="N161" s="11">
        <v>2480</v>
      </c>
      <c r="O161" s="12">
        <v>45807</v>
      </c>
      <c r="P161" s="10" t="s">
        <v>267</v>
      </c>
      <c r="Q161" s="10" t="s">
        <v>45</v>
      </c>
      <c r="R161" s="10" t="s">
        <v>46</v>
      </c>
      <c r="S161" s="94">
        <f t="shared" si="76"/>
        <v>12942808.869999999</v>
      </c>
      <c r="T161" s="94"/>
      <c r="U161" s="94">
        <f t="shared" si="77"/>
        <v>2717989.8626999999</v>
      </c>
      <c r="V161" s="94">
        <f t="shared" si="78"/>
        <v>388284.26609999995</v>
      </c>
      <c r="W161" s="94">
        <f>+S161*1.6%</f>
        <v>207084.94191999998</v>
      </c>
      <c r="X161" s="94">
        <f t="shared" si="75"/>
        <v>0</v>
      </c>
      <c r="Y161" s="94">
        <f>+(S161+U161+V161+W161)*3.5%</f>
        <v>568965.87792520004</v>
      </c>
      <c r="Z161" s="94"/>
      <c r="AA161" s="94">
        <f t="shared" si="74"/>
        <v>16825133.818645198</v>
      </c>
      <c r="AB161" s="10"/>
      <c r="AC161" s="94"/>
      <c r="AD161" s="10"/>
      <c r="AE161" s="94"/>
      <c r="AF161" s="10"/>
      <c r="AG161" s="94"/>
      <c r="AH161" s="94"/>
      <c r="AI161" s="94">
        <f t="shared" si="71"/>
        <v>0</v>
      </c>
      <c r="AJ161" s="94">
        <f t="shared" si="72"/>
        <v>16825133.818645198</v>
      </c>
      <c r="AK161" s="90" t="str">
        <f t="shared" si="41"/>
        <v>Pendiente</v>
      </c>
    </row>
    <row r="162" spans="1:37" ht="15" hidden="1" customHeight="1" x14ac:dyDescent="0.35">
      <c r="A162" s="14" t="s">
        <v>268</v>
      </c>
      <c r="B162" s="14" t="s">
        <v>80</v>
      </c>
      <c r="C162" s="14" t="s">
        <v>269</v>
      </c>
      <c r="D162" s="89" t="s">
        <v>270</v>
      </c>
      <c r="E162" s="89"/>
      <c r="F162" s="89" t="s">
        <v>270</v>
      </c>
      <c r="G162" s="89" t="s">
        <v>270</v>
      </c>
      <c r="H162" s="89" t="s">
        <v>248</v>
      </c>
      <c r="I162" s="103"/>
      <c r="J162" s="96">
        <v>76100793.859999999</v>
      </c>
      <c r="K162" s="96">
        <v>76100793.859999999</v>
      </c>
      <c r="L162" s="89" t="s">
        <v>42</v>
      </c>
      <c r="M162" s="14" t="s">
        <v>64</v>
      </c>
      <c r="N162" s="15">
        <v>2483</v>
      </c>
      <c r="O162" s="12">
        <v>45833</v>
      </c>
      <c r="P162" s="14" t="s">
        <v>271</v>
      </c>
      <c r="Q162" s="14" t="s">
        <v>45</v>
      </c>
      <c r="R162" s="14" t="s">
        <v>46</v>
      </c>
      <c r="S162" s="94">
        <f t="shared" si="76"/>
        <v>76100793.859999999</v>
      </c>
      <c r="T162" s="96"/>
      <c r="U162" s="96">
        <f t="shared" si="77"/>
        <v>15981166.7106</v>
      </c>
      <c r="V162" s="96">
        <f t="shared" si="78"/>
        <v>2283023.8158</v>
      </c>
      <c r="W162" s="96">
        <f>+S162*2.5%</f>
        <v>1902519.8465</v>
      </c>
      <c r="X162" s="96">
        <f t="shared" si="75"/>
        <v>0</v>
      </c>
      <c r="Y162" s="96"/>
      <c r="Z162" s="96"/>
      <c r="AA162" s="96">
        <f t="shared" si="74"/>
        <v>96267504.232899994</v>
      </c>
      <c r="AB162" s="16">
        <v>45839</v>
      </c>
      <c r="AC162" s="96">
        <f>AA162-AH162</f>
        <v>93910030.602899998</v>
      </c>
      <c r="AD162" s="14"/>
      <c r="AE162" s="96"/>
      <c r="AF162" s="14"/>
      <c r="AG162" s="96"/>
      <c r="AH162" s="96">
        <v>2357473.63</v>
      </c>
      <c r="AI162" s="96">
        <f t="shared" si="71"/>
        <v>96267504.232899994</v>
      </c>
      <c r="AJ162" s="96">
        <f t="shared" si="72"/>
        <v>0</v>
      </c>
      <c r="AK162" s="90">
        <f t="shared" si="41"/>
        <v>6</v>
      </c>
    </row>
    <row r="163" spans="1:37" hidden="1" x14ac:dyDescent="0.35">
      <c r="A163" s="10" t="s">
        <v>261</v>
      </c>
      <c r="B163" s="10" t="s">
        <v>262</v>
      </c>
      <c r="C163" s="10" t="s">
        <v>262</v>
      </c>
      <c r="D163" s="10" t="s">
        <v>262</v>
      </c>
      <c r="E163" s="89" t="s">
        <v>248</v>
      </c>
      <c r="F163" s="89"/>
      <c r="G163" s="89" t="s">
        <v>248</v>
      </c>
      <c r="H163" s="89" t="s">
        <v>248</v>
      </c>
      <c r="I163" s="103"/>
      <c r="J163" s="94">
        <v>19413407.469999999</v>
      </c>
      <c r="K163" s="94">
        <v>19413407.469999999</v>
      </c>
      <c r="L163" s="89" t="s">
        <v>42</v>
      </c>
      <c r="M163" s="10" t="s">
        <v>64</v>
      </c>
      <c r="N163" s="11">
        <v>2484</v>
      </c>
      <c r="O163" s="12">
        <v>45664</v>
      </c>
      <c r="P163" s="10" t="s">
        <v>272</v>
      </c>
      <c r="Q163" s="10" t="s">
        <v>45</v>
      </c>
      <c r="R163" s="10" t="s">
        <v>46</v>
      </c>
      <c r="S163" s="94">
        <f t="shared" si="76"/>
        <v>19413407.469999999</v>
      </c>
      <c r="T163" s="94"/>
      <c r="U163" s="94">
        <f>+S163*0.21</f>
        <v>4076815.5686999997</v>
      </c>
      <c r="V163" s="94">
        <f t="shared" si="78"/>
        <v>582402.22409999999</v>
      </c>
      <c r="W163" s="94">
        <v>0</v>
      </c>
      <c r="X163" s="94">
        <f>IF(A163="00-175",U163*0.06,0)</f>
        <v>0</v>
      </c>
      <c r="Y163" s="94">
        <v>0</v>
      </c>
      <c r="Z163" s="94"/>
      <c r="AA163" s="94">
        <f t="shared" si="74"/>
        <v>24072625.262800001</v>
      </c>
      <c r="AB163" s="10"/>
      <c r="AC163" s="94"/>
      <c r="AD163" s="10"/>
      <c r="AE163" s="94"/>
      <c r="AF163" s="10"/>
      <c r="AG163" s="94"/>
      <c r="AH163" s="94"/>
      <c r="AI163" s="94">
        <f t="shared" si="71"/>
        <v>0</v>
      </c>
      <c r="AJ163" s="94">
        <f t="shared" si="72"/>
        <v>24072625.262800001</v>
      </c>
      <c r="AK163" s="90" t="str">
        <f t="shared" si="41"/>
        <v>Pendiente</v>
      </c>
    </row>
    <row r="164" spans="1:37" hidden="1" x14ac:dyDescent="0.35">
      <c r="A164" s="20" t="s">
        <v>261</v>
      </c>
      <c r="B164" s="10" t="s">
        <v>262</v>
      </c>
      <c r="C164" s="20" t="s">
        <v>262</v>
      </c>
      <c r="D164" s="10" t="s">
        <v>262</v>
      </c>
      <c r="E164" s="89" t="s">
        <v>248</v>
      </c>
      <c r="F164" s="89"/>
      <c r="G164" s="89" t="s">
        <v>248</v>
      </c>
      <c r="H164" s="89" t="s">
        <v>248</v>
      </c>
      <c r="I164" s="103"/>
      <c r="J164" s="94">
        <v>13706484.199999999</v>
      </c>
      <c r="K164" s="94">
        <v>13706484.199999999</v>
      </c>
      <c r="L164" s="89" t="s">
        <v>42</v>
      </c>
      <c r="M164" s="20" t="s">
        <v>64</v>
      </c>
      <c r="N164" s="21">
        <v>2489</v>
      </c>
      <c r="O164" s="12">
        <v>45869</v>
      </c>
      <c r="P164" s="20" t="s">
        <v>273</v>
      </c>
      <c r="Q164" s="97" t="s">
        <v>45</v>
      </c>
      <c r="R164" s="97" t="s">
        <v>46</v>
      </c>
      <c r="S164" s="94">
        <f t="shared" si="76"/>
        <v>13706484.199999999</v>
      </c>
      <c r="T164" s="94"/>
      <c r="U164" s="94">
        <f t="shared" ref="U164:U191" si="79">+S164*21%</f>
        <v>2878361.6819999996</v>
      </c>
      <c r="V164" s="94">
        <f t="shared" si="78"/>
        <v>411194.52599999995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74"/>
        <v>16996040.408</v>
      </c>
      <c r="AB164" s="22">
        <v>45877</v>
      </c>
      <c r="AC164" s="94">
        <f>178184.29+16817856.12</f>
        <v>16996040.41</v>
      </c>
      <c r="AD164" s="98"/>
      <c r="AE164" s="94"/>
      <c r="AF164" s="20"/>
      <c r="AG164" s="94"/>
      <c r="AH164" s="94"/>
      <c r="AI164" s="94">
        <f t="shared" si="71"/>
        <v>16996040.41</v>
      </c>
      <c r="AJ164" s="94">
        <f t="shared" si="72"/>
        <v>-2.0000003278255463E-3</v>
      </c>
      <c r="AK164" s="90">
        <f t="shared" ref="AK164:AK227" si="80">IF(Q164="ANULADA","N/A",IF(ABS(AJ164)&gt;10,"Pendiente",IF(MAX(AB164,AD164,AF164)=0,"Pendiente",MAX(0,MAX(AB164,AD164,AF164)-O164))))</f>
        <v>8</v>
      </c>
    </row>
    <row r="165" spans="1:37" hidden="1" x14ac:dyDescent="0.35">
      <c r="A165" s="10" t="s">
        <v>261</v>
      </c>
      <c r="B165" s="10" t="s">
        <v>262</v>
      </c>
      <c r="C165" s="10" t="s">
        <v>262</v>
      </c>
      <c r="D165" s="10" t="s">
        <v>262</v>
      </c>
      <c r="E165" s="89" t="s">
        <v>248</v>
      </c>
      <c r="F165" s="89"/>
      <c r="G165" s="89" t="s">
        <v>248</v>
      </c>
      <c r="H165" s="89" t="s">
        <v>248</v>
      </c>
      <c r="I165" s="103"/>
      <c r="J165" s="94">
        <v>13706523.199999999</v>
      </c>
      <c r="K165" s="94">
        <v>13706523.199999999</v>
      </c>
      <c r="L165" s="89" t="s">
        <v>42</v>
      </c>
      <c r="M165" s="10" t="s">
        <v>64</v>
      </c>
      <c r="N165" s="11">
        <v>2497</v>
      </c>
      <c r="O165" s="12">
        <v>45897</v>
      </c>
      <c r="P165" s="10" t="s">
        <v>274</v>
      </c>
      <c r="Q165" s="10" t="s">
        <v>45</v>
      </c>
      <c r="R165" s="10" t="s">
        <v>46</v>
      </c>
      <c r="S165" s="94">
        <f t="shared" si="76"/>
        <v>13706523.199999999</v>
      </c>
      <c r="T165" s="94"/>
      <c r="U165" s="94">
        <f t="shared" si="79"/>
        <v>2878369.8719999995</v>
      </c>
      <c r="V165" s="94">
        <f t="shared" si="78"/>
        <v>411195.69599999994</v>
      </c>
      <c r="W165" s="94">
        <v>0</v>
      </c>
      <c r="X165" s="94">
        <f>IF(A165="00-175",U165*0.06,0)</f>
        <v>0</v>
      </c>
      <c r="Y165" s="94">
        <v>0</v>
      </c>
      <c r="Z165" s="94"/>
      <c r="AA165" s="94">
        <f t="shared" si="74"/>
        <v>16996088.767999999</v>
      </c>
      <c r="AB165" s="10"/>
      <c r="AC165" s="94"/>
      <c r="AD165" s="10"/>
      <c r="AE165" s="94"/>
      <c r="AF165" s="10"/>
      <c r="AG165" s="94"/>
      <c r="AH165" s="94"/>
      <c r="AI165" s="94">
        <f t="shared" si="71"/>
        <v>0</v>
      </c>
      <c r="AJ165" s="94">
        <f t="shared" si="72"/>
        <v>16996088.767999999</v>
      </c>
      <c r="AK165" s="90" t="str">
        <f t="shared" si="80"/>
        <v>Pendiente</v>
      </c>
    </row>
    <row r="166" spans="1:37" hidden="1" x14ac:dyDescent="0.35">
      <c r="A166" s="14" t="s">
        <v>79</v>
      </c>
      <c r="B166" s="14" t="s">
        <v>80</v>
      </c>
      <c r="C166" s="14" t="s">
        <v>81</v>
      </c>
      <c r="D166" s="89" t="s">
        <v>275</v>
      </c>
      <c r="E166" s="89">
        <v>0</v>
      </c>
      <c r="F166" s="89" t="s">
        <v>275</v>
      </c>
      <c r="G166" s="89" t="s">
        <v>275</v>
      </c>
      <c r="H166" s="89" t="s">
        <v>275</v>
      </c>
      <c r="I166" s="103"/>
      <c r="J166" s="96">
        <v>81685880</v>
      </c>
      <c r="K166" s="96">
        <v>81685880</v>
      </c>
      <c r="L166" s="89" t="s">
        <v>42</v>
      </c>
      <c r="M166" s="14" t="s">
        <v>64</v>
      </c>
      <c r="N166" s="15">
        <v>2498</v>
      </c>
      <c r="O166" s="12">
        <v>45897</v>
      </c>
      <c r="P166" s="14" t="s">
        <v>276</v>
      </c>
      <c r="Q166" s="14" t="s">
        <v>45</v>
      </c>
      <c r="R166" s="14" t="s">
        <v>46</v>
      </c>
      <c r="S166" s="94">
        <f t="shared" si="76"/>
        <v>81685880</v>
      </c>
      <c r="T166" s="96"/>
      <c r="U166" s="96">
        <f t="shared" si="79"/>
        <v>17154034.800000001</v>
      </c>
      <c r="V166" s="96">
        <f t="shared" si="78"/>
        <v>2450576.4</v>
      </c>
      <c r="W166" s="96">
        <f>+S166*2.5%</f>
        <v>2042147</v>
      </c>
      <c r="X166" s="96">
        <f>IF(A166="00-175",S166*0.06,0)</f>
        <v>0</v>
      </c>
      <c r="Y166" s="96"/>
      <c r="Z166" s="96"/>
      <c r="AA166" s="96">
        <f t="shared" si="74"/>
        <v>103332638.2</v>
      </c>
      <c r="AB166" s="16">
        <v>45905</v>
      </c>
      <c r="AC166" s="96">
        <v>103332638.2</v>
      </c>
      <c r="AD166" s="10"/>
      <c r="AE166" s="94"/>
      <c r="AF166" s="10"/>
      <c r="AG166" s="94"/>
      <c r="AH166" s="94"/>
      <c r="AI166" s="94">
        <f t="shared" si="71"/>
        <v>103332638.2</v>
      </c>
      <c r="AJ166" s="94">
        <f t="shared" si="72"/>
        <v>0</v>
      </c>
      <c r="AK166" s="90">
        <f t="shared" si="80"/>
        <v>8</v>
      </c>
    </row>
    <row r="167" spans="1:37" hidden="1" x14ac:dyDescent="0.35">
      <c r="A167" s="10" t="s">
        <v>277</v>
      </c>
      <c r="B167" s="10" t="s">
        <v>262</v>
      </c>
      <c r="C167" s="10" t="s">
        <v>278</v>
      </c>
      <c r="D167" s="10" t="s">
        <v>262</v>
      </c>
      <c r="E167" s="89" t="s">
        <v>248</v>
      </c>
      <c r="F167" s="89"/>
      <c r="G167" s="89" t="s">
        <v>248</v>
      </c>
      <c r="H167" s="89" t="s">
        <v>248</v>
      </c>
      <c r="I167" s="103"/>
      <c r="J167" s="94">
        <v>25868427.940000001</v>
      </c>
      <c r="K167" s="94">
        <v>25868427.940000001</v>
      </c>
      <c r="L167" s="89" t="s">
        <v>42</v>
      </c>
      <c r="M167" s="10" t="s">
        <v>64</v>
      </c>
      <c r="N167" s="11">
        <v>2502</v>
      </c>
      <c r="O167" s="12">
        <v>45899</v>
      </c>
      <c r="P167" s="10" t="s">
        <v>279</v>
      </c>
      <c r="Q167" s="10" t="s">
        <v>45</v>
      </c>
      <c r="R167" s="10" t="s">
        <v>46</v>
      </c>
      <c r="S167" s="94">
        <f t="shared" si="76"/>
        <v>25868427.940000001</v>
      </c>
      <c r="T167" s="94"/>
      <c r="U167" s="94">
        <f t="shared" si="79"/>
        <v>5432369.8673999999</v>
      </c>
      <c r="V167" s="94">
        <f t="shared" si="78"/>
        <v>776052.8382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74"/>
        <v>32076850.645600002</v>
      </c>
      <c r="AB167" s="10"/>
      <c r="AC167" s="94"/>
      <c r="AD167" s="10"/>
      <c r="AE167" s="94"/>
      <c r="AF167" s="10"/>
      <c r="AG167" s="94"/>
      <c r="AH167" s="94"/>
      <c r="AI167" s="94">
        <f t="shared" si="71"/>
        <v>0</v>
      </c>
      <c r="AJ167" s="94">
        <f t="shared" si="72"/>
        <v>32076850.645600002</v>
      </c>
      <c r="AK167" s="90" t="str">
        <f t="shared" si="80"/>
        <v>Pendiente</v>
      </c>
    </row>
    <row r="168" spans="1:37" hidden="1" x14ac:dyDescent="0.35">
      <c r="A168" s="14" t="s">
        <v>79</v>
      </c>
      <c r="B168" s="14" t="s">
        <v>80</v>
      </c>
      <c r="C168" s="14" t="s">
        <v>81</v>
      </c>
      <c r="D168" s="89" t="s">
        <v>275</v>
      </c>
      <c r="E168" s="89">
        <v>0</v>
      </c>
      <c r="F168" s="89" t="s">
        <v>275</v>
      </c>
      <c r="G168" s="89" t="s">
        <v>275</v>
      </c>
      <c r="H168" s="89" t="s">
        <v>275</v>
      </c>
      <c r="I168" s="103"/>
      <c r="J168" s="96">
        <v>12601653.25</v>
      </c>
      <c r="K168" s="96">
        <v>12601653.25</v>
      </c>
      <c r="L168" s="89" t="s">
        <v>42</v>
      </c>
      <c r="M168" s="14" t="s">
        <v>64</v>
      </c>
      <c r="N168" s="15">
        <v>2503</v>
      </c>
      <c r="O168" s="12">
        <v>45899</v>
      </c>
      <c r="P168" s="14" t="s">
        <v>280</v>
      </c>
      <c r="Q168" s="14" t="s">
        <v>45</v>
      </c>
      <c r="R168" s="14" t="s">
        <v>46</v>
      </c>
      <c r="S168" s="94">
        <f t="shared" si="76"/>
        <v>12601653.25</v>
      </c>
      <c r="T168" s="96"/>
      <c r="U168" s="96">
        <f t="shared" si="79"/>
        <v>2646347.1825000001</v>
      </c>
      <c r="V168" s="96">
        <f t="shared" si="78"/>
        <v>378049.59749999997</v>
      </c>
      <c r="W168" s="96">
        <f>+S168*2.5%</f>
        <v>315041.33125000005</v>
      </c>
      <c r="X168" s="96">
        <f>IF(A168="00-175",S168*0.06,0)</f>
        <v>0</v>
      </c>
      <c r="Y168" s="96"/>
      <c r="Z168" s="96"/>
      <c r="AA168" s="96">
        <f t="shared" si="74"/>
        <v>15941091.361250002</v>
      </c>
      <c r="AB168" s="16">
        <v>45905</v>
      </c>
      <c r="AC168" s="96">
        <v>15332513.27</v>
      </c>
      <c r="AD168" s="23">
        <v>45917</v>
      </c>
      <c r="AE168" s="96">
        <v>608578.09</v>
      </c>
      <c r="AF168" s="10"/>
      <c r="AG168" s="94"/>
      <c r="AH168" s="94"/>
      <c r="AI168" s="94">
        <f t="shared" si="71"/>
        <v>15941091.359999999</v>
      </c>
      <c r="AJ168" s="94">
        <f t="shared" si="72"/>
        <v>1.250002533197403E-3</v>
      </c>
      <c r="AK168" s="90">
        <f t="shared" si="80"/>
        <v>18</v>
      </c>
    </row>
    <row r="169" spans="1:37" hidden="1" x14ac:dyDescent="0.35">
      <c r="A169" s="14" t="s">
        <v>79</v>
      </c>
      <c r="B169" s="14" t="s">
        <v>80</v>
      </c>
      <c r="C169" s="14" t="s">
        <v>81</v>
      </c>
      <c r="D169" s="89"/>
      <c r="E169" s="89"/>
      <c r="F169" s="89"/>
      <c r="G169" s="89" t="s">
        <v>281</v>
      </c>
      <c r="H169" s="89" t="s">
        <v>281</v>
      </c>
      <c r="I169" s="103"/>
      <c r="J169" s="96">
        <v>21615296.399999999</v>
      </c>
      <c r="K169" s="96">
        <v>21615296.399999999</v>
      </c>
      <c r="L169" s="89" t="s">
        <v>42</v>
      </c>
      <c r="M169" s="14" t="s">
        <v>64</v>
      </c>
      <c r="N169" s="15">
        <v>2514</v>
      </c>
      <c r="O169" s="12">
        <v>45915</v>
      </c>
      <c r="P169" s="14" t="s">
        <v>282</v>
      </c>
      <c r="Q169" s="14" t="s">
        <v>45</v>
      </c>
      <c r="R169" s="14" t="s">
        <v>46</v>
      </c>
      <c r="S169" s="94">
        <f t="shared" si="76"/>
        <v>21615296.399999999</v>
      </c>
      <c r="T169" s="96"/>
      <c r="U169" s="96">
        <f t="shared" si="79"/>
        <v>4539212.2439999999</v>
      </c>
      <c r="V169" s="96">
        <f t="shared" si="78"/>
        <v>648458.89199999988</v>
      </c>
      <c r="W169" s="96">
        <f>+S169*2.5%</f>
        <v>540382.41</v>
      </c>
      <c r="X169" s="96">
        <f>IF(A169="00-175",S169*0.06,0)</f>
        <v>0</v>
      </c>
      <c r="Y169" s="96"/>
      <c r="Z169" s="96"/>
      <c r="AA169" s="96">
        <f t="shared" si="74"/>
        <v>27343349.945999999</v>
      </c>
      <c r="AB169" s="16">
        <v>45939</v>
      </c>
      <c r="AC169" s="96">
        <v>27343349.940000001</v>
      </c>
      <c r="AD169" s="10"/>
      <c r="AE169" s="94"/>
      <c r="AF169" s="10"/>
      <c r="AG169" s="94"/>
      <c r="AH169" s="94"/>
      <c r="AI169" s="94">
        <f t="shared" si="71"/>
        <v>27343349.940000001</v>
      </c>
      <c r="AJ169" s="94">
        <f t="shared" si="72"/>
        <v>5.9999972581863403E-3</v>
      </c>
      <c r="AK169" s="90">
        <f t="shared" si="80"/>
        <v>24</v>
      </c>
    </row>
    <row r="170" spans="1:37" hidden="1" x14ac:dyDescent="0.35">
      <c r="A170" s="10" t="s">
        <v>261</v>
      </c>
      <c r="B170" s="10" t="s">
        <v>262</v>
      </c>
      <c r="C170" s="10" t="s">
        <v>262</v>
      </c>
      <c r="D170" s="10" t="s">
        <v>262</v>
      </c>
      <c r="E170" s="89" t="s">
        <v>248</v>
      </c>
      <c r="F170" s="89"/>
      <c r="G170" s="89" t="s">
        <v>248</v>
      </c>
      <c r="H170" s="89" t="s">
        <v>248</v>
      </c>
      <c r="I170" s="103"/>
      <c r="J170" s="94">
        <v>20773198.859999999</v>
      </c>
      <c r="K170" s="94">
        <v>20773198.859999999</v>
      </c>
      <c r="L170" s="89" t="s">
        <v>42</v>
      </c>
      <c r="M170" s="10" t="s">
        <v>64</v>
      </c>
      <c r="N170" s="11">
        <v>2516</v>
      </c>
      <c r="O170" s="12">
        <v>45930</v>
      </c>
      <c r="P170" s="10" t="s">
        <v>283</v>
      </c>
      <c r="Q170" s="10" t="s">
        <v>45</v>
      </c>
      <c r="R170" s="10" t="s">
        <v>46</v>
      </c>
      <c r="S170" s="94">
        <f t="shared" si="76"/>
        <v>20773198.859999999</v>
      </c>
      <c r="T170" s="94"/>
      <c r="U170" s="94">
        <f t="shared" si="79"/>
        <v>4362371.7605999997</v>
      </c>
      <c r="V170" s="94">
        <f t="shared" si="78"/>
        <v>623195.96580000001</v>
      </c>
      <c r="W170" s="94">
        <v>0</v>
      </c>
      <c r="X170" s="94">
        <f>IF(A170="00-175",U170*0.06,0)</f>
        <v>0</v>
      </c>
      <c r="Y170" s="94">
        <v>0</v>
      </c>
      <c r="Z170" s="94"/>
      <c r="AA170" s="94">
        <f t="shared" si="74"/>
        <v>25758766.586399999</v>
      </c>
      <c r="AB170" s="12"/>
      <c r="AC170" s="94"/>
      <c r="AD170" s="10"/>
      <c r="AE170" s="94"/>
      <c r="AF170" s="10"/>
      <c r="AG170" s="94"/>
      <c r="AH170" s="94"/>
      <c r="AI170" s="94">
        <f t="shared" si="71"/>
        <v>0</v>
      </c>
      <c r="AJ170" s="94">
        <f t="shared" si="72"/>
        <v>25758766.586399999</v>
      </c>
      <c r="AK170" s="90" t="str">
        <f t="shared" si="80"/>
        <v>Pendiente</v>
      </c>
    </row>
    <row r="171" spans="1:37" hidden="1" x14ac:dyDescent="0.35">
      <c r="A171" s="14" t="s">
        <v>268</v>
      </c>
      <c r="B171" s="14" t="s">
        <v>80</v>
      </c>
      <c r="C171" s="14" t="s">
        <v>269</v>
      </c>
      <c r="D171" s="89"/>
      <c r="E171" s="89"/>
      <c r="F171" s="89"/>
      <c r="G171" s="89" t="s">
        <v>41</v>
      </c>
      <c r="H171" s="92">
        <v>45717</v>
      </c>
      <c r="I171" s="103"/>
      <c r="J171" s="96">
        <v>154020882.32411069</v>
      </c>
      <c r="K171" s="96">
        <v>154020882.32411069</v>
      </c>
      <c r="L171" s="89"/>
      <c r="M171" s="14" t="s">
        <v>64</v>
      </c>
      <c r="N171" s="15">
        <v>2517</v>
      </c>
      <c r="O171" s="12">
        <v>45946</v>
      </c>
      <c r="P171" s="14" t="s">
        <v>284</v>
      </c>
      <c r="Q171" s="14" t="s">
        <v>194</v>
      </c>
      <c r="R171" s="14">
        <v>344</v>
      </c>
      <c r="S171" s="94">
        <f t="shared" si="76"/>
        <v>154020882.32411069</v>
      </c>
      <c r="T171" s="96"/>
      <c r="U171" s="96">
        <f t="shared" si="79"/>
        <v>32344385.288063243</v>
      </c>
      <c r="V171" s="96">
        <f t="shared" si="78"/>
        <v>4620626.4697233206</v>
      </c>
      <c r="W171" s="96">
        <f t="shared" ref="W171:W188" si="81">+S171*2.5%</f>
        <v>3850522.0581027674</v>
      </c>
      <c r="X171" s="96">
        <f t="shared" ref="X171:X193" si="82">IF(A171="00-175",S171*0.06,0)</f>
        <v>0</v>
      </c>
      <c r="Y171" s="96"/>
      <c r="Z171" s="96"/>
      <c r="AA171" s="96">
        <f t="shared" si="74"/>
        <v>194836416.13999999</v>
      </c>
      <c r="AB171" s="99"/>
      <c r="AC171" s="96"/>
      <c r="AD171" s="14"/>
      <c r="AE171" s="96"/>
      <c r="AF171" s="14"/>
      <c r="AG171" s="96"/>
      <c r="AH171" s="96"/>
      <c r="AI171" s="94">
        <f t="shared" si="71"/>
        <v>0</v>
      </c>
      <c r="AJ171" s="94">
        <f t="shared" si="72"/>
        <v>194836416.13999999</v>
      </c>
      <c r="AK171" s="90" t="str">
        <f t="shared" si="80"/>
        <v>N/A</v>
      </c>
    </row>
    <row r="172" spans="1:37" hidden="1" x14ac:dyDescent="0.35">
      <c r="A172" s="14" t="s">
        <v>268</v>
      </c>
      <c r="B172" s="14" t="s">
        <v>80</v>
      </c>
      <c r="C172" s="14" t="s">
        <v>269</v>
      </c>
      <c r="D172" s="89"/>
      <c r="E172" s="89"/>
      <c r="F172" s="89"/>
      <c r="G172" s="89" t="s">
        <v>41</v>
      </c>
      <c r="H172" s="92">
        <v>45748</v>
      </c>
      <c r="I172" s="103"/>
      <c r="J172" s="96">
        <v>87443207.675889328</v>
      </c>
      <c r="K172" s="96">
        <v>87443207.675889328</v>
      </c>
      <c r="L172" s="89"/>
      <c r="M172" s="14" t="s">
        <v>64</v>
      </c>
      <c r="N172" s="15">
        <v>2518</v>
      </c>
      <c r="O172" s="12">
        <v>45946</v>
      </c>
      <c r="P172" s="14" t="s">
        <v>285</v>
      </c>
      <c r="Q172" s="14" t="s">
        <v>194</v>
      </c>
      <c r="R172" s="14">
        <v>345</v>
      </c>
      <c r="S172" s="94">
        <f t="shared" si="76"/>
        <v>87443207.675889328</v>
      </c>
      <c r="T172" s="96"/>
      <c r="U172" s="96">
        <f t="shared" si="79"/>
        <v>18363073.611936759</v>
      </c>
      <c r="V172" s="96">
        <f t="shared" si="78"/>
        <v>2623296.2302766796</v>
      </c>
      <c r="W172" s="96">
        <f t="shared" si="81"/>
        <v>2186080.1918972335</v>
      </c>
      <c r="X172" s="96">
        <f t="shared" si="82"/>
        <v>0</v>
      </c>
      <c r="Y172" s="96"/>
      <c r="Z172" s="96"/>
      <c r="AA172" s="96">
        <f t="shared" si="74"/>
        <v>110615657.70999999</v>
      </c>
      <c r="AB172" s="99"/>
      <c r="AC172" s="96"/>
      <c r="AD172" s="14"/>
      <c r="AE172" s="96"/>
      <c r="AF172" s="14"/>
      <c r="AG172" s="96"/>
      <c r="AH172" s="96"/>
      <c r="AI172" s="94">
        <f t="shared" si="71"/>
        <v>0</v>
      </c>
      <c r="AJ172" s="94">
        <f t="shared" si="72"/>
        <v>110615657.70999999</v>
      </c>
      <c r="AK172" s="90" t="str">
        <f t="shared" si="80"/>
        <v>N/A</v>
      </c>
    </row>
    <row r="173" spans="1:37" hidden="1" x14ac:dyDescent="0.35">
      <c r="A173" s="14" t="s">
        <v>268</v>
      </c>
      <c r="B173" s="14" t="s">
        <v>80</v>
      </c>
      <c r="C173" s="14" t="s">
        <v>269</v>
      </c>
      <c r="D173" s="89"/>
      <c r="E173" s="89"/>
      <c r="F173" s="89"/>
      <c r="G173" s="89" t="s">
        <v>41</v>
      </c>
      <c r="H173" s="92">
        <v>45778</v>
      </c>
      <c r="I173" s="103"/>
      <c r="J173" s="96">
        <v>105161504.25296444</v>
      </c>
      <c r="K173" s="96">
        <v>105161504.25296444</v>
      </c>
      <c r="L173" s="89"/>
      <c r="M173" s="14" t="s">
        <v>64</v>
      </c>
      <c r="N173" s="15">
        <v>2519</v>
      </c>
      <c r="O173" s="12">
        <v>45946</v>
      </c>
      <c r="P173" s="14" t="s">
        <v>286</v>
      </c>
      <c r="Q173" s="14" t="s">
        <v>194</v>
      </c>
      <c r="R173" s="14">
        <v>346</v>
      </c>
      <c r="S173" s="94">
        <f t="shared" si="76"/>
        <v>105161504.25296444</v>
      </c>
      <c r="T173" s="96"/>
      <c r="U173" s="96">
        <f t="shared" si="79"/>
        <v>22083915.893122531</v>
      </c>
      <c r="V173" s="96">
        <f t="shared" si="78"/>
        <v>3154845.1275889329</v>
      </c>
      <c r="W173" s="96">
        <f t="shared" si="81"/>
        <v>2629037.6063241111</v>
      </c>
      <c r="X173" s="96">
        <f t="shared" si="82"/>
        <v>0</v>
      </c>
      <c r="Y173" s="96"/>
      <c r="Z173" s="96"/>
      <c r="AA173" s="96">
        <f t="shared" si="74"/>
        <v>133029302.88</v>
      </c>
      <c r="AB173" s="99"/>
      <c r="AC173" s="96"/>
      <c r="AD173" s="14"/>
      <c r="AE173" s="96"/>
      <c r="AF173" s="14"/>
      <c r="AG173" s="96"/>
      <c r="AH173" s="96"/>
      <c r="AI173" s="94">
        <f t="shared" si="71"/>
        <v>0</v>
      </c>
      <c r="AJ173" s="94">
        <f t="shared" si="72"/>
        <v>133029302.88</v>
      </c>
      <c r="AK173" s="90" t="str">
        <f t="shared" si="80"/>
        <v>N/A</v>
      </c>
    </row>
    <row r="174" spans="1:37" hidden="1" x14ac:dyDescent="0.35">
      <c r="A174" s="14" t="s">
        <v>268</v>
      </c>
      <c r="B174" s="14" t="s">
        <v>80</v>
      </c>
      <c r="C174" s="14" t="s">
        <v>269</v>
      </c>
      <c r="D174" s="89"/>
      <c r="E174" s="89"/>
      <c r="F174" s="89"/>
      <c r="G174" s="89" t="s">
        <v>41</v>
      </c>
      <c r="H174" s="92">
        <v>45809</v>
      </c>
      <c r="I174" s="103"/>
      <c r="J174" s="96">
        <v>105095937.85770752</v>
      </c>
      <c r="K174" s="96">
        <v>105095937.85770752</v>
      </c>
      <c r="L174" s="89"/>
      <c r="M174" s="14" t="s">
        <v>64</v>
      </c>
      <c r="N174" s="15">
        <v>2520</v>
      </c>
      <c r="O174" s="12">
        <v>45946</v>
      </c>
      <c r="P174" s="14" t="s">
        <v>287</v>
      </c>
      <c r="Q174" s="14" t="s">
        <v>194</v>
      </c>
      <c r="R174" s="14">
        <v>347</v>
      </c>
      <c r="S174" s="94">
        <f t="shared" si="76"/>
        <v>105095937.85770752</v>
      </c>
      <c r="T174" s="96"/>
      <c r="U174" s="96">
        <f t="shared" si="79"/>
        <v>22070146.950118579</v>
      </c>
      <c r="V174" s="96">
        <f t="shared" si="78"/>
        <v>3152878.1357312254</v>
      </c>
      <c r="W174" s="96">
        <f t="shared" si="81"/>
        <v>2627398.4464426879</v>
      </c>
      <c r="X174" s="96">
        <f t="shared" si="82"/>
        <v>0</v>
      </c>
      <c r="Y174" s="96"/>
      <c r="Z174" s="96"/>
      <c r="AA174" s="96">
        <f t="shared" si="74"/>
        <v>132946361.39000002</v>
      </c>
      <c r="AB174" s="99"/>
      <c r="AC174" s="96"/>
      <c r="AD174" s="14"/>
      <c r="AE174" s="96"/>
      <c r="AF174" s="14"/>
      <c r="AG174" s="96"/>
      <c r="AH174" s="96"/>
      <c r="AI174" s="94">
        <f t="shared" si="71"/>
        <v>0</v>
      </c>
      <c r="AJ174" s="94">
        <f t="shared" si="72"/>
        <v>132946361.39000002</v>
      </c>
      <c r="AK174" s="90" t="str">
        <f t="shared" si="80"/>
        <v>N/A</v>
      </c>
    </row>
    <row r="175" spans="1:37" ht="15" hidden="1" customHeight="1" x14ac:dyDescent="0.35">
      <c r="A175" s="14" t="s">
        <v>268</v>
      </c>
      <c r="B175" s="14" t="s">
        <v>80</v>
      </c>
      <c r="C175" s="14" t="s">
        <v>269</v>
      </c>
      <c r="D175" s="89"/>
      <c r="E175" s="89"/>
      <c r="F175" s="89"/>
      <c r="G175" s="89" t="s">
        <v>41</v>
      </c>
      <c r="H175" s="92">
        <v>45839</v>
      </c>
      <c r="I175" s="103"/>
      <c r="J175" s="96">
        <v>107539810.99604744</v>
      </c>
      <c r="K175" s="96">
        <v>107539810.99604744</v>
      </c>
      <c r="L175" s="89"/>
      <c r="M175" s="14" t="s">
        <v>64</v>
      </c>
      <c r="N175" s="15">
        <v>2521</v>
      </c>
      <c r="O175" s="12">
        <v>45946</v>
      </c>
      <c r="P175" s="14" t="s">
        <v>288</v>
      </c>
      <c r="Q175" s="14" t="s">
        <v>194</v>
      </c>
      <c r="R175" s="14">
        <v>348</v>
      </c>
      <c r="S175" s="94">
        <f t="shared" si="76"/>
        <v>107539810.99604744</v>
      </c>
      <c r="T175" s="96"/>
      <c r="U175" s="96">
        <f t="shared" si="79"/>
        <v>22583360.309169959</v>
      </c>
      <c r="V175" s="96">
        <f t="shared" si="78"/>
        <v>3226194.3298814232</v>
      </c>
      <c r="W175" s="96">
        <f t="shared" si="81"/>
        <v>2688495.2749011861</v>
      </c>
      <c r="X175" s="96">
        <f t="shared" si="82"/>
        <v>0</v>
      </c>
      <c r="Y175" s="96"/>
      <c r="Z175" s="96"/>
      <c r="AA175" s="96">
        <f t="shared" si="74"/>
        <v>136037860.91</v>
      </c>
      <c r="AB175" s="99"/>
      <c r="AC175" s="96"/>
      <c r="AD175" s="14"/>
      <c r="AE175" s="96"/>
      <c r="AF175" s="14"/>
      <c r="AG175" s="96"/>
      <c r="AH175" s="96"/>
      <c r="AI175" s="94">
        <f t="shared" si="71"/>
        <v>0</v>
      </c>
      <c r="AJ175" s="94">
        <f t="shared" si="72"/>
        <v>136037860.91</v>
      </c>
      <c r="AK175" s="90" t="str">
        <f t="shared" si="80"/>
        <v>N/A</v>
      </c>
    </row>
    <row r="176" spans="1:37" ht="15" hidden="1" customHeight="1" x14ac:dyDescent="0.35">
      <c r="A176" s="14" t="s">
        <v>268</v>
      </c>
      <c r="B176" s="14" t="s">
        <v>80</v>
      </c>
      <c r="C176" s="14" t="s">
        <v>269</v>
      </c>
      <c r="D176" s="89"/>
      <c r="E176" s="89"/>
      <c r="F176" s="89"/>
      <c r="G176" s="89" t="s">
        <v>41</v>
      </c>
      <c r="H176" s="92">
        <v>45870</v>
      </c>
      <c r="I176" s="103"/>
      <c r="J176" s="96">
        <v>103377251.18577076</v>
      </c>
      <c r="K176" s="96">
        <v>103377251.18577076</v>
      </c>
      <c r="L176" s="89"/>
      <c r="M176" s="14" t="s">
        <v>64</v>
      </c>
      <c r="N176" s="15">
        <v>2522</v>
      </c>
      <c r="O176" s="12">
        <v>45946</v>
      </c>
      <c r="P176" s="14" t="s">
        <v>289</v>
      </c>
      <c r="Q176" s="14" t="s">
        <v>194</v>
      </c>
      <c r="R176" s="14">
        <v>349</v>
      </c>
      <c r="S176" s="94">
        <f t="shared" si="76"/>
        <v>103377251.18577076</v>
      </c>
      <c r="T176" s="96"/>
      <c r="U176" s="96">
        <f t="shared" si="79"/>
        <v>21709222.749011859</v>
      </c>
      <c r="V176" s="96">
        <f t="shared" si="78"/>
        <v>3101317.535573123</v>
      </c>
      <c r="W176" s="96">
        <f t="shared" si="81"/>
        <v>2584431.2796442695</v>
      </c>
      <c r="X176" s="96">
        <f t="shared" si="82"/>
        <v>0</v>
      </c>
      <c r="Y176" s="96"/>
      <c r="Z176" s="96"/>
      <c r="AA176" s="96">
        <f t="shared" si="74"/>
        <v>130772222.75000001</v>
      </c>
      <c r="AB176" s="99"/>
      <c r="AC176" s="96"/>
      <c r="AD176" s="14"/>
      <c r="AE176" s="96"/>
      <c r="AF176" s="14"/>
      <c r="AG176" s="96"/>
      <c r="AH176" s="96"/>
      <c r="AI176" s="94">
        <f t="shared" si="71"/>
        <v>0</v>
      </c>
      <c r="AJ176" s="94">
        <f t="shared" si="72"/>
        <v>130772222.75000001</v>
      </c>
      <c r="AK176" s="90" t="str">
        <f t="shared" si="80"/>
        <v>N/A</v>
      </c>
    </row>
    <row r="177" spans="1:37" ht="15" hidden="1" customHeight="1" x14ac:dyDescent="0.35">
      <c r="A177" s="14" t="s">
        <v>268</v>
      </c>
      <c r="B177" s="14" t="s">
        <v>80</v>
      </c>
      <c r="C177" s="14" t="s">
        <v>269</v>
      </c>
      <c r="D177" s="89"/>
      <c r="E177" s="89"/>
      <c r="F177" s="89"/>
      <c r="G177" s="89" t="s">
        <v>48</v>
      </c>
      <c r="H177" s="92">
        <v>45717</v>
      </c>
      <c r="I177" s="103"/>
      <c r="J177" s="96">
        <v>26183550.000000004</v>
      </c>
      <c r="K177" s="96">
        <v>26183550.000000004</v>
      </c>
      <c r="L177" s="89"/>
      <c r="M177" s="14" t="s">
        <v>64</v>
      </c>
      <c r="N177" s="15">
        <v>2523</v>
      </c>
      <c r="O177" s="12">
        <v>45946</v>
      </c>
      <c r="P177" s="14" t="s">
        <v>290</v>
      </c>
      <c r="Q177" s="14" t="s">
        <v>194</v>
      </c>
      <c r="R177" s="14">
        <v>350</v>
      </c>
      <c r="S177" s="94">
        <f t="shared" si="76"/>
        <v>26183550.000000004</v>
      </c>
      <c r="T177" s="96"/>
      <c r="U177" s="96">
        <f t="shared" si="79"/>
        <v>5498545.5000000009</v>
      </c>
      <c r="V177" s="96">
        <f t="shared" si="78"/>
        <v>785506.50000000012</v>
      </c>
      <c r="W177" s="96">
        <f t="shared" si="81"/>
        <v>654588.75000000012</v>
      </c>
      <c r="X177" s="96">
        <f t="shared" si="82"/>
        <v>0</v>
      </c>
      <c r="Y177" s="96"/>
      <c r="Z177" s="96"/>
      <c r="AA177" s="96">
        <f t="shared" si="74"/>
        <v>33122190.750000004</v>
      </c>
      <c r="AB177" s="99"/>
      <c r="AC177" s="96"/>
      <c r="AD177" s="14"/>
      <c r="AE177" s="96"/>
      <c r="AF177" s="14"/>
      <c r="AG177" s="96"/>
      <c r="AH177" s="96"/>
      <c r="AI177" s="94">
        <f t="shared" si="71"/>
        <v>0</v>
      </c>
      <c r="AJ177" s="94">
        <f t="shared" si="72"/>
        <v>33122190.750000004</v>
      </c>
      <c r="AK177" s="90" t="str">
        <f t="shared" si="80"/>
        <v>N/A</v>
      </c>
    </row>
    <row r="178" spans="1:37" ht="15" hidden="1" customHeight="1" x14ac:dyDescent="0.35">
      <c r="A178" s="14" t="s">
        <v>268</v>
      </c>
      <c r="B178" s="14" t="s">
        <v>80</v>
      </c>
      <c r="C178" s="14" t="s">
        <v>269</v>
      </c>
      <c r="D178" s="89"/>
      <c r="E178" s="89"/>
      <c r="F178" s="89"/>
      <c r="G178" s="89" t="s">
        <v>48</v>
      </c>
      <c r="H178" s="92">
        <v>45748</v>
      </c>
      <c r="I178" s="103"/>
      <c r="J178" s="96">
        <v>17642182.339920949</v>
      </c>
      <c r="K178" s="96">
        <v>17642182.339920949</v>
      </c>
      <c r="L178" s="89"/>
      <c r="M178" s="14" t="s">
        <v>64</v>
      </c>
      <c r="N178" s="15">
        <v>2524</v>
      </c>
      <c r="O178" s="12">
        <v>45946</v>
      </c>
      <c r="P178" s="14" t="s">
        <v>291</v>
      </c>
      <c r="Q178" s="14" t="s">
        <v>194</v>
      </c>
      <c r="R178" s="14">
        <v>351</v>
      </c>
      <c r="S178" s="94">
        <f t="shared" si="76"/>
        <v>17642182.339920949</v>
      </c>
      <c r="T178" s="96"/>
      <c r="U178" s="96">
        <f t="shared" si="79"/>
        <v>3704858.2913833992</v>
      </c>
      <c r="V178" s="96">
        <f t="shared" si="78"/>
        <v>529265.47019762849</v>
      </c>
      <c r="W178" s="96">
        <f t="shared" si="81"/>
        <v>441054.55849802378</v>
      </c>
      <c r="X178" s="96">
        <f t="shared" si="82"/>
        <v>0</v>
      </c>
      <c r="Y178" s="96"/>
      <c r="Z178" s="96"/>
      <c r="AA178" s="96">
        <f t="shared" si="74"/>
        <v>22317360.660000004</v>
      </c>
      <c r="AB178" s="99"/>
      <c r="AC178" s="96"/>
      <c r="AD178" s="14"/>
      <c r="AE178" s="96"/>
      <c r="AF178" s="14"/>
      <c r="AG178" s="96"/>
      <c r="AH178" s="96"/>
      <c r="AI178" s="94">
        <f t="shared" ref="AI178:AI196" si="83">+AC178+AE178+AG178+AH178</f>
        <v>0</v>
      </c>
      <c r="AJ178" s="94">
        <f t="shared" ref="AJ178:AJ196" si="84">+AA178-AI178</f>
        <v>22317360.660000004</v>
      </c>
      <c r="AK178" s="90" t="str">
        <f t="shared" si="80"/>
        <v>N/A</v>
      </c>
    </row>
    <row r="179" spans="1:37" ht="15" hidden="1" customHeight="1" x14ac:dyDescent="0.35">
      <c r="A179" s="14" t="s">
        <v>268</v>
      </c>
      <c r="B179" s="14" t="s">
        <v>80</v>
      </c>
      <c r="C179" s="14" t="s">
        <v>269</v>
      </c>
      <c r="D179" s="89"/>
      <c r="E179" s="89"/>
      <c r="F179" s="89"/>
      <c r="G179" s="89" t="s">
        <v>48</v>
      </c>
      <c r="H179" s="92">
        <v>45809</v>
      </c>
      <c r="I179" s="103"/>
      <c r="J179" s="96">
        <v>29083534.134387355</v>
      </c>
      <c r="K179" s="96">
        <v>29083534.134387355</v>
      </c>
      <c r="L179" s="89"/>
      <c r="M179" s="14" t="s">
        <v>64</v>
      </c>
      <c r="N179" s="15">
        <v>2525</v>
      </c>
      <c r="O179" s="12">
        <v>45946</v>
      </c>
      <c r="P179" s="14" t="s">
        <v>292</v>
      </c>
      <c r="Q179" s="14" t="s">
        <v>194</v>
      </c>
      <c r="R179" s="14">
        <v>352</v>
      </c>
      <c r="S179" s="94">
        <f t="shared" si="76"/>
        <v>29083534.134387355</v>
      </c>
      <c r="T179" s="96"/>
      <c r="U179" s="96">
        <f t="shared" si="79"/>
        <v>6107542.1682213442</v>
      </c>
      <c r="V179" s="96">
        <f t="shared" si="78"/>
        <v>872506.02403162059</v>
      </c>
      <c r="W179" s="96">
        <f t="shared" si="81"/>
        <v>727088.35335968388</v>
      </c>
      <c r="X179" s="96">
        <f t="shared" si="82"/>
        <v>0</v>
      </c>
      <c r="Y179" s="96"/>
      <c r="Z179" s="96"/>
      <c r="AA179" s="96">
        <f t="shared" si="74"/>
        <v>36790670.680000007</v>
      </c>
      <c r="AB179" s="99"/>
      <c r="AC179" s="96"/>
      <c r="AD179" s="14"/>
      <c r="AE179" s="96"/>
      <c r="AF179" s="14"/>
      <c r="AG179" s="96"/>
      <c r="AH179" s="96"/>
      <c r="AI179" s="94">
        <f t="shared" si="83"/>
        <v>0</v>
      </c>
      <c r="AJ179" s="94">
        <f t="shared" si="84"/>
        <v>36790670.680000007</v>
      </c>
      <c r="AK179" s="90" t="str">
        <f t="shared" si="80"/>
        <v>N/A</v>
      </c>
    </row>
    <row r="180" spans="1:37" ht="15" hidden="1" customHeight="1" x14ac:dyDescent="0.35">
      <c r="A180" s="14" t="s">
        <v>268</v>
      </c>
      <c r="B180" s="14" t="s">
        <v>80</v>
      </c>
      <c r="C180" s="14" t="s">
        <v>269</v>
      </c>
      <c r="D180" s="89"/>
      <c r="E180" s="89"/>
      <c r="F180" s="89"/>
      <c r="G180" s="89" t="s">
        <v>48</v>
      </c>
      <c r="H180" s="92">
        <v>45778</v>
      </c>
      <c r="I180" s="103"/>
      <c r="J180" s="96">
        <v>16929640.25296443</v>
      </c>
      <c r="K180" s="96">
        <v>16929640.25296443</v>
      </c>
      <c r="L180" s="89"/>
      <c r="M180" s="14" t="s">
        <v>64</v>
      </c>
      <c r="N180" s="15">
        <v>2526</v>
      </c>
      <c r="O180" s="12">
        <v>45946</v>
      </c>
      <c r="P180" s="14" t="s">
        <v>293</v>
      </c>
      <c r="Q180" s="14" t="s">
        <v>194</v>
      </c>
      <c r="R180" s="14">
        <v>353</v>
      </c>
      <c r="S180" s="94">
        <f t="shared" si="76"/>
        <v>16929640.25296443</v>
      </c>
      <c r="T180" s="96"/>
      <c r="U180" s="96">
        <f t="shared" si="79"/>
        <v>3555224.4531225301</v>
      </c>
      <c r="V180" s="96">
        <f t="shared" si="78"/>
        <v>507889.20758893288</v>
      </c>
      <c r="W180" s="96">
        <f t="shared" si="81"/>
        <v>423241.00632411079</v>
      </c>
      <c r="X180" s="96">
        <f t="shared" si="82"/>
        <v>0</v>
      </c>
      <c r="Y180" s="96"/>
      <c r="Z180" s="96"/>
      <c r="AA180" s="96">
        <f t="shared" si="74"/>
        <v>21415994.920000006</v>
      </c>
      <c r="AB180" s="99"/>
      <c r="AC180" s="96"/>
      <c r="AD180" s="14"/>
      <c r="AE180" s="96"/>
      <c r="AF180" s="14"/>
      <c r="AG180" s="96"/>
      <c r="AH180" s="96"/>
      <c r="AI180" s="94">
        <f t="shared" si="83"/>
        <v>0</v>
      </c>
      <c r="AJ180" s="94">
        <f t="shared" si="84"/>
        <v>21415994.920000006</v>
      </c>
      <c r="AK180" s="90" t="str">
        <f t="shared" si="80"/>
        <v>N/A</v>
      </c>
    </row>
    <row r="181" spans="1:37" ht="15" hidden="1" customHeight="1" x14ac:dyDescent="0.35">
      <c r="A181" s="14" t="s">
        <v>268</v>
      </c>
      <c r="B181" s="14" t="s">
        <v>80</v>
      </c>
      <c r="C181" s="14" t="s">
        <v>269</v>
      </c>
      <c r="D181" s="89"/>
      <c r="E181" s="89"/>
      <c r="F181" s="89"/>
      <c r="G181" s="89" t="s">
        <v>48</v>
      </c>
      <c r="H181" s="92">
        <v>45839</v>
      </c>
      <c r="I181" s="103"/>
      <c r="J181" s="96">
        <v>26140241.667984191</v>
      </c>
      <c r="K181" s="96">
        <v>26140241.667984191</v>
      </c>
      <c r="L181" s="89"/>
      <c r="M181" s="14" t="s">
        <v>64</v>
      </c>
      <c r="N181" s="15">
        <v>2527</v>
      </c>
      <c r="O181" s="12">
        <v>45946</v>
      </c>
      <c r="P181" s="14" t="s">
        <v>294</v>
      </c>
      <c r="Q181" s="14" t="s">
        <v>194</v>
      </c>
      <c r="R181" s="14">
        <v>354</v>
      </c>
      <c r="S181" s="94">
        <f t="shared" si="76"/>
        <v>26140241.667984191</v>
      </c>
      <c r="T181" s="96"/>
      <c r="U181" s="96">
        <f t="shared" si="79"/>
        <v>5489450.7502766801</v>
      </c>
      <c r="V181" s="96">
        <f t="shared" si="78"/>
        <v>784207.25003952568</v>
      </c>
      <c r="W181" s="96">
        <f t="shared" si="81"/>
        <v>653506.04169960483</v>
      </c>
      <c r="X181" s="96">
        <f t="shared" si="82"/>
        <v>0</v>
      </c>
      <c r="Y181" s="96"/>
      <c r="Z181" s="96"/>
      <c r="AA181" s="96">
        <f t="shared" si="74"/>
        <v>33067405.710000001</v>
      </c>
      <c r="AB181" s="99"/>
      <c r="AC181" s="96"/>
      <c r="AD181" s="14"/>
      <c r="AE181" s="96"/>
      <c r="AF181" s="14"/>
      <c r="AG181" s="96"/>
      <c r="AH181" s="96"/>
      <c r="AI181" s="94">
        <f t="shared" si="83"/>
        <v>0</v>
      </c>
      <c r="AJ181" s="94">
        <f t="shared" si="84"/>
        <v>33067405.710000001</v>
      </c>
      <c r="AK181" s="90" t="str">
        <f t="shared" si="80"/>
        <v>N/A</v>
      </c>
    </row>
    <row r="182" spans="1:37" ht="15" hidden="1" customHeight="1" x14ac:dyDescent="0.35">
      <c r="A182" s="14" t="s">
        <v>268</v>
      </c>
      <c r="B182" s="14" t="s">
        <v>80</v>
      </c>
      <c r="C182" s="14" t="s">
        <v>269</v>
      </c>
      <c r="D182" s="89"/>
      <c r="E182" s="89"/>
      <c r="F182" s="89"/>
      <c r="G182" s="89" t="s">
        <v>48</v>
      </c>
      <c r="H182" s="92">
        <v>45870</v>
      </c>
      <c r="I182" s="103"/>
      <c r="J182" s="96">
        <v>29337901.865612648</v>
      </c>
      <c r="K182" s="96">
        <v>29337901.865612648</v>
      </c>
      <c r="L182" s="89"/>
      <c r="M182" s="14" t="s">
        <v>64</v>
      </c>
      <c r="N182" s="15">
        <v>2528</v>
      </c>
      <c r="O182" s="12">
        <v>45946</v>
      </c>
      <c r="P182" s="14" t="s">
        <v>295</v>
      </c>
      <c r="Q182" s="14" t="s">
        <v>194</v>
      </c>
      <c r="R182" s="14">
        <v>355</v>
      </c>
      <c r="S182" s="94">
        <f t="shared" si="76"/>
        <v>29337901.865612648</v>
      </c>
      <c r="T182" s="96"/>
      <c r="U182" s="96">
        <f t="shared" si="79"/>
        <v>6160959.3917786563</v>
      </c>
      <c r="V182" s="96">
        <f t="shared" si="78"/>
        <v>880137.05596837937</v>
      </c>
      <c r="W182" s="96">
        <f t="shared" si="81"/>
        <v>733447.54664031626</v>
      </c>
      <c r="X182" s="96">
        <f t="shared" si="82"/>
        <v>0</v>
      </c>
      <c r="Y182" s="96"/>
      <c r="Z182" s="96"/>
      <c r="AA182" s="96">
        <f t="shared" si="74"/>
        <v>37112445.859999999</v>
      </c>
      <c r="AB182" s="99"/>
      <c r="AC182" s="96"/>
      <c r="AD182" s="14"/>
      <c r="AE182" s="96"/>
      <c r="AF182" s="14"/>
      <c r="AG182" s="96"/>
      <c r="AH182" s="96"/>
      <c r="AI182" s="94">
        <f t="shared" si="83"/>
        <v>0</v>
      </c>
      <c r="AJ182" s="94">
        <f t="shared" si="84"/>
        <v>37112445.859999999</v>
      </c>
      <c r="AK182" s="90" t="str">
        <f t="shared" si="80"/>
        <v>N/A</v>
      </c>
    </row>
    <row r="183" spans="1:37" ht="15" hidden="1" customHeight="1" x14ac:dyDescent="0.35">
      <c r="A183" s="14" t="s">
        <v>268</v>
      </c>
      <c r="B183" s="14" t="s">
        <v>80</v>
      </c>
      <c r="C183" s="14" t="s">
        <v>269</v>
      </c>
      <c r="D183" s="89"/>
      <c r="E183" s="89"/>
      <c r="F183" s="89"/>
      <c r="G183" s="89" t="s">
        <v>41</v>
      </c>
      <c r="H183" s="92">
        <v>45717</v>
      </c>
      <c r="I183" s="103"/>
      <c r="J183" s="96">
        <v>32531277.826086961</v>
      </c>
      <c r="K183" s="96">
        <v>32531277.826086961</v>
      </c>
      <c r="L183" s="89"/>
      <c r="M183" s="14" t="s">
        <v>64</v>
      </c>
      <c r="N183" s="15">
        <v>2529</v>
      </c>
      <c r="O183" s="12">
        <v>45946</v>
      </c>
      <c r="P183" s="14" t="s">
        <v>296</v>
      </c>
      <c r="Q183" s="14" t="s">
        <v>194</v>
      </c>
      <c r="R183" s="14">
        <v>356</v>
      </c>
      <c r="S183" s="94">
        <f t="shared" si="76"/>
        <v>32531277.826086961</v>
      </c>
      <c r="T183" s="96"/>
      <c r="U183" s="96">
        <f t="shared" si="79"/>
        <v>6831568.3434782615</v>
      </c>
      <c r="V183" s="96">
        <f t="shared" si="78"/>
        <v>975938.33478260878</v>
      </c>
      <c r="W183" s="96">
        <f t="shared" si="81"/>
        <v>813281.94565217406</v>
      </c>
      <c r="X183" s="96">
        <f t="shared" si="82"/>
        <v>0</v>
      </c>
      <c r="Y183" s="96"/>
      <c r="Z183" s="96"/>
      <c r="AA183" s="96">
        <f t="shared" si="74"/>
        <v>41152066.450000003</v>
      </c>
      <c r="AB183" s="99"/>
      <c r="AC183" s="96"/>
      <c r="AD183" s="14"/>
      <c r="AE183" s="96"/>
      <c r="AF183" s="14"/>
      <c r="AG183" s="96"/>
      <c r="AH183" s="96"/>
      <c r="AI183" s="94">
        <f t="shared" si="83"/>
        <v>0</v>
      </c>
      <c r="AJ183" s="94">
        <f t="shared" si="84"/>
        <v>41152066.450000003</v>
      </c>
      <c r="AK183" s="90" t="str">
        <f t="shared" si="80"/>
        <v>N/A</v>
      </c>
    </row>
    <row r="184" spans="1:37" ht="15" hidden="1" customHeight="1" x14ac:dyDescent="0.35">
      <c r="A184" s="14" t="s">
        <v>268</v>
      </c>
      <c r="B184" s="14" t="s">
        <v>80</v>
      </c>
      <c r="C184" s="14" t="s">
        <v>269</v>
      </c>
      <c r="D184" s="89"/>
      <c r="E184" s="89"/>
      <c r="F184" s="89"/>
      <c r="G184" s="89" t="s">
        <v>41</v>
      </c>
      <c r="H184" s="92">
        <v>45748</v>
      </c>
      <c r="I184" s="103"/>
      <c r="J184" s="96">
        <v>11850245.596837943</v>
      </c>
      <c r="K184" s="96">
        <v>11850245.596837943</v>
      </c>
      <c r="L184" s="89"/>
      <c r="M184" s="14" t="s">
        <v>64</v>
      </c>
      <c r="N184" s="15">
        <v>2530</v>
      </c>
      <c r="O184" s="12">
        <v>45946</v>
      </c>
      <c r="P184" s="14" t="s">
        <v>297</v>
      </c>
      <c r="Q184" s="14" t="s">
        <v>194</v>
      </c>
      <c r="R184" s="14">
        <v>357</v>
      </c>
      <c r="S184" s="94">
        <f t="shared" si="76"/>
        <v>11850245.596837943</v>
      </c>
      <c r="T184" s="96"/>
      <c r="U184" s="96">
        <f t="shared" si="79"/>
        <v>2488551.5753359678</v>
      </c>
      <c r="V184" s="96">
        <f t="shared" si="78"/>
        <v>355507.36790513829</v>
      </c>
      <c r="W184" s="96">
        <f t="shared" si="81"/>
        <v>296256.1399209486</v>
      </c>
      <c r="X184" s="96">
        <f t="shared" si="82"/>
        <v>0</v>
      </c>
      <c r="Y184" s="96"/>
      <c r="Z184" s="96"/>
      <c r="AA184" s="96">
        <f t="shared" si="74"/>
        <v>14990560.679999998</v>
      </c>
      <c r="AB184" s="99"/>
      <c r="AC184" s="96"/>
      <c r="AD184" s="14"/>
      <c r="AE184" s="96"/>
      <c r="AF184" s="14"/>
      <c r="AG184" s="96"/>
      <c r="AH184" s="96"/>
      <c r="AI184" s="94">
        <f t="shared" si="83"/>
        <v>0</v>
      </c>
      <c r="AJ184" s="94">
        <f t="shared" si="84"/>
        <v>14990560.679999998</v>
      </c>
      <c r="AK184" s="90" t="str">
        <f t="shared" si="80"/>
        <v>N/A</v>
      </c>
    </row>
    <row r="185" spans="1:37" ht="15" hidden="1" customHeight="1" x14ac:dyDescent="0.35">
      <c r="A185" s="14" t="s">
        <v>268</v>
      </c>
      <c r="B185" s="14" t="s">
        <v>80</v>
      </c>
      <c r="C185" s="14" t="s">
        <v>269</v>
      </c>
      <c r="D185" s="89"/>
      <c r="E185" s="89"/>
      <c r="F185" s="89"/>
      <c r="G185" s="89" t="s">
        <v>41</v>
      </c>
      <c r="H185" s="92">
        <v>45778</v>
      </c>
      <c r="I185" s="103"/>
      <c r="J185" s="96">
        <v>55595422.71146246</v>
      </c>
      <c r="K185" s="96">
        <v>55595422.71146246</v>
      </c>
      <c r="L185" s="89"/>
      <c r="M185" s="14" t="s">
        <v>64</v>
      </c>
      <c r="N185" s="15">
        <v>2531</v>
      </c>
      <c r="O185" s="12">
        <v>45946</v>
      </c>
      <c r="P185" s="14" t="s">
        <v>298</v>
      </c>
      <c r="Q185" s="14" t="s">
        <v>194</v>
      </c>
      <c r="R185" s="14">
        <v>358</v>
      </c>
      <c r="S185" s="94">
        <f t="shared" si="76"/>
        <v>55595422.71146246</v>
      </c>
      <c r="T185" s="96"/>
      <c r="U185" s="96">
        <f t="shared" si="79"/>
        <v>11675038.769407116</v>
      </c>
      <c r="V185" s="96">
        <f t="shared" si="78"/>
        <v>1667862.6813438737</v>
      </c>
      <c r="W185" s="96">
        <f t="shared" si="81"/>
        <v>1389885.5677865616</v>
      </c>
      <c r="X185" s="96">
        <f t="shared" si="82"/>
        <v>0</v>
      </c>
      <c r="Y185" s="96"/>
      <c r="Z185" s="96"/>
      <c r="AA185" s="96">
        <f t="shared" si="74"/>
        <v>70328209.730000004</v>
      </c>
      <c r="AB185" s="99"/>
      <c r="AC185" s="96"/>
      <c r="AD185" s="14"/>
      <c r="AE185" s="96"/>
      <c r="AF185" s="14"/>
      <c r="AG185" s="96"/>
      <c r="AH185" s="96"/>
      <c r="AI185" s="94">
        <f t="shared" si="83"/>
        <v>0</v>
      </c>
      <c r="AJ185" s="94">
        <f t="shared" si="84"/>
        <v>70328209.730000004</v>
      </c>
      <c r="AK185" s="90" t="str">
        <f t="shared" si="80"/>
        <v>N/A</v>
      </c>
    </row>
    <row r="186" spans="1:37" ht="15" hidden="1" customHeight="1" x14ac:dyDescent="0.35">
      <c r="A186" s="14" t="s">
        <v>268</v>
      </c>
      <c r="B186" s="14" t="s">
        <v>80</v>
      </c>
      <c r="C186" s="14" t="s">
        <v>269</v>
      </c>
      <c r="D186" s="89"/>
      <c r="E186" s="89"/>
      <c r="F186" s="89"/>
      <c r="G186" s="89" t="s">
        <v>41</v>
      </c>
      <c r="H186" s="92">
        <v>45809</v>
      </c>
      <c r="I186" s="103"/>
      <c r="J186" s="96">
        <v>74893393.407114625</v>
      </c>
      <c r="K186" s="96">
        <v>74893393.407114625</v>
      </c>
      <c r="L186" s="89"/>
      <c r="M186" s="14" t="s">
        <v>64</v>
      </c>
      <c r="N186" s="15">
        <v>2532</v>
      </c>
      <c r="O186" s="12">
        <v>45946</v>
      </c>
      <c r="P186" s="14" t="s">
        <v>299</v>
      </c>
      <c r="Q186" s="14" t="s">
        <v>194</v>
      </c>
      <c r="R186" s="14">
        <v>359</v>
      </c>
      <c r="S186" s="94">
        <f t="shared" si="76"/>
        <v>74893393.407114625</v>
      </c>
      <c r="T186" s="96"/>
      <c r="U186" s="96">
        <f t="shared" si="79"/>
        <v>15727612.615494071</v>
      </c>
      <c r="V186" s="96">
        <f t="shared" si="78"/>
        <v>2246801.8022134388</v>
      </c>
      <c r="W186" s="96">
        <f t="shared" si="81"/>
        <v>1872334.8351778658</v>
      </c>
      <c r="X186" s="96">
        <f t="shared" si="82"/>
        <v>0</v>
      </c>
      <c r="Y186" s="96"/>
      <c r="Z186" s="96"/>
      <c r="AA186" s="96">
        <f t="shared" si="74"/>
        <v>94740142.660000011</v>
      </c>
      <c r="AB186" s="99"/>
      <c r="AC186" s="96"/>
      <c r="AD186" s="14"/>
      <c r="AE186" s="96"/>
      <c r="AF186" s="14"/>
      <c r="AG186" s="96"/>
      <c r="AH186" s="96"/>
      <c r="AI186" s="94">
        <f t="shared" si="83"/>
        <v>0</v>
      </c>
      <c r="AJ186" s="94">
        <f t="shared" si="84"/>
        <v>94740142.660000011</v>
      </c>
      <c r="AK186" s="90" t="str">
        <f t="shared" si="80"/>
        <v>N/A</v>
      </c>
    </row>
    <row r="187" spans="1:37" ht="15" hidden="1" customHeight="1" x14ac:dyDescent="0.35">
      <c r="A187" s="14" t="s">
        <v>268</v>
      </c>
      <c r="B187" s="14" t="s">
        <v>80</v>
      </c>
      <c r="C187" s="14" t="s">
        <v>269</v>
      </c>
      <c r="D187" s="89"/>
      <c r="E187" s="89"/>
      <c r="F187" s="89"/>
      <c r="G187" s="89" t="s">
        <v>41</v>
      </c>
      <c r="H187" s="92">
        <v>45839</v>
      </c>
      <c r="I187" s="103"/>
      <c r="J187" s="96">
        <v>198818223.18577081</v>
      </c>
      <c r="K187" s="96">
        <v>198818223.18577081</v>
      </c>
      <c r="L187" s="89"/>
      <c r="M187" s="14" t="s">
        <v>64</v>
      </c>
      <c r="N187" s="15">
        <v>2533</v>
      </c>
      <c r="O187" s="12">
        <v>45946</v>
      </c>
      <c r="P187" s="14" t="s">
        <v>300</v>
      </c>
      <c r="Q187" s="14" t="s">
        <v>194</v>
      </c>
      <c r="R187" s="14">
        <v>360</v>
      </c>
      <c r="S187" s="94">
        <f t="shared" si="76"/>
        <v>198818223.18577081</v>
      </c>
      <c r="T187" s="96"/>
      <c r="U187" s="96">
        <f t="shared" si="79"/>
        <v>41751826.869011872</v>
      </c>
      <c r="V187" s="96">
        <f t="shared" si="78"/>
        <v>5964546.6955731241</v>
      </c>
      <c r="W187" s="96">
        <f t="shared" si="81"/>
        <v>4970455.5796442702</v>
      </c>
      <c r="X187" s="96">
        <f t="shared" si="82"/>
        <v>0</v>
      </c>
      <c r="Y187" s="96"/>
      <c r="Z187" s="96"/>
      <c r="AA187" s="96">
        <f t="shared" si="74"/>
        <v>251505052.33000007</v>
      </c>
      <c r="AB187" s="99"/>
      <c r="AC187" s="96"/>
      <c r="AD187" s="14"/>
      <c r="AE187" s="96"/>
      <c r="AF187" s="14"/>
      <c r="AG187" s="96"/>
      <c r="AH187" s="96"/>
      <c r="AI187" s="94">
        <f t="shared" si="83"/>
        <v>0</v>
      </c>
      <c r="AJ187" s="94">
        <f t="shared" si="84"/>
        <v>251505052.33000007</v>
      </c>
      <c r="AK187" s="90" t="str">
        <f t="shared" si="80"/>
        <v>N/A</v>
      </c>
    </row>
    <row r="188" spans="1:37" ht="15" hidden="1" customHeight="1" x14ac:dyDescent="0.35">
      <c r="A188" s="14" t="s">
        <v>268</v>
      </c>
      <c r="B188" s="14" t="s">
        <v>80</v>
      </c>
      <c r="C188" s="14" t="s">
        <v>269</v>
      </c>
      <c r="D188" s="89"/>
      <c r="E188" s="89"/>
      <c r="F188" s="89"/>
      <c r="G188" s="89" t="s">
        <v>41</v>
      </c>
      <c r="H188" s="92">
        <v>45870</v>
      </c>
      <c r="I188" s="103"/>
      <c r="J188" s="96">
        <v>192552035.73913047</v>
      </c>
      <c r="K188" s="96">
        <v>192552035.73913047</v>
      </c>
      <c r="L188" s="89"/>
      <c r="M188" s="14" t="s">
        <v>64</v>
      </c>
      <c r="N188" s="15">
        <v>2534</v>
      </c>
      <c r="O188" s="12">
        <v>45946</v>
      </c>
      <c r="P188" s="14" t="s">
        <v>301</v>
      </c>
      <c r="Q188" s="14" t="s">
        <v>194</v>
      </c>
      <c r="R188" s="14">
        <v>361</v>
      </c>
      <c r="S188" s="94">
        <f t="shared" si="76"/>
        <v>192552035.73913047</v>
      </c>
      <c r="T188" s="96"/>
      <c r="U188" s="96">
        <f t="shared" si="79"/>
        <v>40435927.505217396</v>
      </c>
      <c r="V188" s="96">
        <f t="shared" si="78"/>
        <v>5776561.0721739139</v>
      </c>
      <c r="W188" s="96">
        <f t="shared" si="81"/>
        <v>4813800.8934782622</v>
      </c>
      <c r="X188" s="96">
        <f t="shared" si="82"/>
        <v>0</v>
      </c>
      <c r="Y188" s="96"/>
      <c r="Z188" s="96"/>
      <c r="AA188" s="96">
        <f t="shared" si="74"/>
        <v>243578325.21000007</v>
      </c>
      <c r="AB188" s="99"/>
      <c r="AC188" s="96"/>
      <c r="AD188" s="14"/>
      <c r="AE188" s="96"/>
      <c r="AF188" s="14"/>
      <c r="AG188" s="96"/>
      <c r="AH188" s="96"/>
      <c r="AI188" s="94">
        <f t="shared" si="83"/>
        <v>0</v>
      </c>
      <c r="AJ188" s="94">
        <f t="shared" si="84"/>
        <v>243578325.21000007</v>
      </c>
      <c r="AK188" s="90" t="str">
        <f t="shared" si="80"/>
        <v>N/A</v>
      </c>
    </row>
    <row r="189" spans="1:37" ht="15" hidden="1" customHeight="1" x14ac:dyDescent="0.35">
      <c r="A189" s="14" t="s">
        <v>130</v>
      </c>
      <c r="B189" s="14" t="s">
        <v>131</v>
      </c>
      <c r="C189" s="10" t="s">
        <v>132</v>
      </c>
      <c r="D189" s="89" t="s">
        <v>133</v>
      </c>
      <c r="E189" s="89">
        <v>0</v>
      </c>
      <c r="F189" s="89"/>
      <c r="G189" s="89" t="s">
        <v>275</v>
      </c>
      <c r="H189" s="89" t="s">
        <v>275</v>
      </c>
      <c r="I189" s="103"/>
      <c r="J189" s="96"/>
      <c r="K189" s="96"/>
      <c r="L189" s="89" t="s">
        <v>42</v>
      </c>
      <c r="M189" s="14" t="s">
        <v>64</v>
      </c>
      <c r="N189" s="15">
        <v>2545</v>
      </c>
      <c r="O189" s="12">
        <v>45964</v>
      </c>
      <c r="P189" s="14" t="s">
        <v>302</v>
      </c>
      <c r="Q189" s="14" t="s">
        <v>194</v>
      </c>
      <c r="R189" s="14">
        <v>362</v>
      </c>
      <c r="S189" s="94">
        <f t="shared" ref="S189:S220" si="85">+J189</f>
        <v>0</v>
      </c>
      <c r="T189" s="96"/>
      <c r="U189" s="96">
        <f t="shared" si="79"/>
        <v>0</v>
      </c>
      <c r="V189" s="96">
        <f t="shared" si="78"/>
        <v>0</v>
      </c>
      <c r="W189" s="96">
        <f>+S189*0.3%</f>
        <v>0</v>
      </c>
      <c r="X189" s="96">
        <f t="shared" si="82"/>
        <v>0</v>
      </c>
      <c r="Y189" s="96"/>
      <c r="Z189" s="96"/>
      <c r="AA189" s="96">
        <f t="shared" si="74"/>
        <v>0</v>
      </c>
      <c r="AB189" s="16"/>
      <c r="AC189" s="96"/>
      <c r="AD189" s="10"/>
      <c r="AE189" s="94"/>
      <c r="AF189" s="10"/>
      <c r="AG189" s="94"/>
      <c r="AH189" s="96"/>
      <c r="AI189" s="94">
        <f t="shared" si="83"/>
        <v>0</v>
      </c>
      <c r="AJ189" s="94">
        <f t="shared" si="84"/>
        <v>0</v>
      </c>
      <c r="AK189" s="90" t="str">
        <f t="shared" si="80"/>
        <v>N/A</v>
      </c>
    </row>
    <row r="190" spans="1:37" ht="15" hidden="1" customHeight="1" x14ac:dyDescent="0.35">
      <c r="A190" s="14" t="s">
        <v>130</v>
      </c>
      <c r="B190" s="14" t="s">
        <v>131</v>
      </c>
      <c r="C190" s="10" t="s">
        <v>132</v>
      </c>
      <c r="D190" s="89" t="s">
        <v>133</v>
      </c>
      <c r="E190" s="89"/>
      <c r="F190" s="89"/>
      <c r="G190" s="89" t="s">
        <v>275</v>
      </c>
      <c r="H190" s="89" t="s">
        <v>275</v>
      </c>
      <c r="I190" s="103"/>
      <c r="J190" s="96">
        <v>0</v>
      </c>
      <c r="K190" s="96">
        <v>4837006172.4499998</v>
      </c>
      <c r="L190" s="89" t="s">
        <v>42</v>
      </c>
      <c r="M190" s="14" t="s">
        <v>64</v>
      </c>
      <c r="N190" s="15">
        <v>2546</v>
      </c>
      <c r="O190" s="12">
        <v>45964</v>
      </c>
      <c r="P190" s="14" t="s">
        <v>303</v>
      </c>
      <c r="Q190" s="14" t="s">
        <v>45</v>
      </c>
      <c r="R190" s="14" t="s">
        <v>46</v>
      </c>
      <c r="S190" s="96">
        <v>4837006172.4499998</v>
      </c>
      <c r="T190" s="96">
        <v>507885648.11000001</v>
      </c>
      <c r="U190" s="96">
        <f t="shared" si="79"/>
        <v>1015771296.2145</v>
      </c>
      <c r="V190" s="96">
        <f t="shared" si="78"/>
        <v>145110185.1735</v>
      </c>
      <c r="W190" s="96">
        <v>145110185.16999999</v>
      </c>
      <c r="X190" s="96">
        <v>169295216.03999999</v>
      </c>
      <c r="Y190" s="96"/>
      <c r="Z190" s="96"/>
      <c r="AA190" s="96">
        <v>5659297221.7700005</v>
      </c>
      <c r="AB190" s="16">
        <v>46007</v>
      </c>
      <c r="AC190" s="96">
        <v>822291049.32000005</v>
      </c>
      <c r="AD190" s="23">
        <v>46022</v>
      </c>
      <c r="AE190" s="96">
        <v>4837006172.4499998</v>
      </c>
      <c r="AF190" s="10"/>
      <c r="AG190" s="94"/>
      <c r="AH190" s="94"/>
      <c r="AI190" s="94">
        <f>+AC190+AE190+AG190+AH190+101000000</f>
        <v>5760297221.7699995</v>
      </c>
      <c r="AJ190" s="94">
        <f>+AA190-AI190</f>
        <v>-100999999.99999905</v>
      </c>
      <c r="AK190" s="90">
        <v>0</v>
      </c>
    </row>
    <row r="191" spans="1:37" ht="15" hidden="1" customHeight="1" x14ac:dyDescent="0.35">
      <c r="A191" s="34" t="s">
        <v>79</v>
      </c>
      <c r="B191" s="14" t="s">
        <v>80</v>
      </c>
      <c r="C191" s="34" t="s">
        <v>81</v>
      </c>
      <c r="D191" s="89"/>
      <c r="E191" s="89"/>
      <c r="F191" s="89" t="s">
        <v>275</v>
      </c>
      <c r="G191" s="89" t="s">
        <v>281</v>
      </c>
      <c r="H191" s="89" t="s">
        <v>281</v>
      </c>
      <c r="I191" s="103"/>
      <c r="J191" s="94">
        <v>48893832.039999999</v>
      </c>
      <c r="K191" s="94">
        <v>48893832.039999999</v>
      </c>
      <c r="L191" s="89" t="s">
        <v>42</v>
      </c>
      <c r="M191" s="34" t="s">
        <v>64</v>
      </c>
      <c r="N191" s="35">
        <v>2548</v>
      </c>
      <c r="O191" s="12">
        <v>46028</v>
      </c>
      <c r="P191" s="34" t="s">
        <v>304</v>
      </c>
      <c r="Q191" s="34" t="s">
        <v>45</v>
      </c>
      <c r="R191" s="34" t="s">
        <v>46</v>
      </c>
      <c r="S191" s="94">
        <f t="shared" si="85"/>
        <v>48893832.039999999</v>
      </c>
      <c r="T191" s="94"/>
      <c r="U191" s="94">
        <f t="shared" si="79"/>
        <v>10267704.728399999</v>
      </c>
      <c r="V191" s="94">
        <f t="shared" si="78"/>
        <v>1466814.9612</v>
      </c>
      <c r="W191" s="94">
        <f>+S191*2.5%</f>
        <v>1222345.801</v>
      </c>
      <c r="X191" s="94">
        <f t="shared" si="82"/>
        <v>0</v>
      </c>
      <c r="Y191" s="94"/>
      <c r="Z191" s="94"/>
      <c r="AA191" s="94">
        <f t="shared" si="74"/>
        <v>61850697.530599996</v>
      </c>
      <c r="AB191" s="36">
        <v>46079</v>
      </c>
      <c r="AC191" s="94">
        <v>61850697.530599996</v>
      </c>
      <c r="AD191" s="98"/>
      <c r="AE191" s="94"/>
      <c r="AF191" s="34"/>
      <c r="AG191" s="94"/>
      <c r="AH191" s="94"/>
      <c r="AI191" s="94">
        <f t="shared" si="83"/>
        <v>61850697.530599996</v>
      </c>
      <c r="AJ191" s="94">
        <f t="shared" si="84"/>
        <v>0</v>
      </c>
      <c r="AK191" s="90">
        <f t="shared" si="80"/>
        <v>51</v>
      </c>
    </row>
    <row r="192" spans="1:37" ht="15" hidden="1" customHeight="1" x14ac:dyDescent="0.35">
      <c r="A192" s="14" t="s">
        <v>305</v>
      </c>
      <c r="B192" s="14" t="s">
        <v>131</v>
      </c>
      <c r="C192" s="10" t="s">
        <v>306</v>
      </c>
      <c r="D192" s="89"/>
      <c r="E192" s="89"/>
      <c r="F192" s="89"/>
      <c r="G192" s="89" t="s">
        <v>275</v>
      </c>
      <c r="H192" s="89" t="s">
        <v>275</v>
      </c>
      <c r="I192" s="103"/>
      <c r="J192" s="94"/>
      <c r="K192" s="94">
        <v>3390677291.5700002</v>
      </c>
      <c r="L192" s="89" t="s">
        <v>42</v>
      </c>
      <c r="M192" s="14" t="s">
        <v>64</v>
      </c>
      <c r="N192" s="15">
        <v>2555</v>
      </c>
      <c r="O192" s="12">
        <v>46022</v>
      </c>
      <c r="P192" s="14" t="s">
        <v>307</v>
      </c>
      <c r="Q192" s="14" t="s">
        <v>45</v>
      </c>
      <c r="R192" s="14" t="s">
        <v>46</v>
      </c>
      <c r="S192" s="94">
        <f>+K192</f>
        <v>3390677291.5700002</v>
      </c>
      <c r="T192" s="96">
        <f>+S192*10.5%</f>
        <v>356021115.61484998</v>
      </c>
      <c r="U192" s="96"/>
      <c r="V192" s="96"/>
      <c r="W192" s="96">
        <f>+S192*3.5%</f>
        <v>118673705.20495002</v>
      </c>
      <c r="X192" s="96">
        <f t="shared" si="82"/>
        <v>0</v>
      </c>
      <c r="Y192" s="96"/>
      <c r="Z192" s="96"/>
      <c r="AA192" s="96">
        <f t="shared" si="74"/>
        <v>3865372112.3898001</v>
      </c>
      <c r="AB192" s="16">
        <v>46022</v>
      </c>
      <c r="AC192" s="96">
        <v>3865372112.3800001</v>
      </c>
      <c r="AD192" s="10"/>
      <c r="AE192" s="94"/>
      <c r="AF192" s="10"/>
      <c r="AG192" s="94"/>
      <c r="AH192" s="94"/>
      <c r="AI192" s="94">
        <f t="shared" si="83"/>
        <v>3865372112.3800001</v>
      </c>
      <c r="AJ192" s="94">
        <f t="shared" si="84"/>
        <v>9.799957275390625E-3</v>
      </c>
      <c r="AK192" s="90">
        <f t="shared" si="80"/>
        <v>0</v>
      </c>
    </row>
    <row r="193" spans="1:37" ht="15" hidden="1" customHeight="1" x14ac:dyDescent="0.35">
      <c r="A193" s="7" t="s">
        <v>130</v>
      </c>
      <c r="B193" s="14" t="s">
        <v>131</v>
      </c>
      <c r="C193" s="10" t="s">
        <v>132</v>
      </c>
      <c r="D193" s="89" t="s">
        <v>133</v>
      </c>
      <c r="E193" s="89"/>
      <c r="F193" s="89"/>
      <c r="G193" s="89" t="s">
        <v>275</v>
      </c>
      <c r="H193" s="89" t="s">
        <v>275</v>
      </c>
      <c r="I193" s="103"/>
      <c r="J193" s="94"/>
      <c r="K193" s="94"/>
      <c r="L193" s="89" t="s">
        <v>42</v>
      </c>
      <c r="M193" s="7" t="s">
        <v>64</v>
      </c>
      <c r="N193" s="7">
        <v>2579</v>
      </c>
      <c r="O193" s="12">
        <v>46053</v>
      </c>
      <c r="P193" s="7" t="s">
        <v>303</v>
      </c>
      <c r="Q193" s="7" t="s">
        <v>194</v>
      </c>
      <c r="R193" s="7">
        <v>363</v>
      </c>
      <c r="S193" s="94">
        <f t="shared" si="85"/>
        <v>0</v>
      </c>
      <c r="T193" s="94"/>
      <c r="U193" s="94">
        <f>+S193*21%</f>
        <v>0</v>
      </c>
      <c r="V193" s="94">
        <f>+S193*3%</f>
        <v>0</v>
      </c>
      <c r="W193" s="94">
        <f>+S193*0.3%</f>
        <v>0</v>
      </c>
      <c r="X193" s="94">
        <f t="shared" si="82"/>
        <v>0</v>
      </c>
      <c r="Y193" s="94"/>
      <c r="Z193" s="94"/>
      <c r="AA193" s="94">
        <f t="shared" si="74"/>
        <v>0</v>
      </c>
      <c r="AB193" s="7"/>
      <c r="AC193" s="94"/>
      <c r="AD193" s="7"/>
      <c r="AE193" s="94"/>
      <c r="AF193" s="7"/>
      <c r="AG193" s="94"/>
      <c r="AH193" s="94"/>
      <c r="AI193" s="94">
        <f t="shared" si="83"/>
        <v>0</v>
      </c>
      <c r="AJ193" s="94">
        <f t="shared" si="84"/>
        <v>0</v>
      </c>
      <c r="AK193" s="90" t="str">
        <f t="shared" si="80"/>
        <v>N/A</v>
      </c>
    </row>
    <row r="194" spans="1:37" ht="15" hidden="1" customHeight="1" x14ac:dyDescent="0.35">
      <c r="A194" s="10" t="s">
        <v>305</v>
      </c>
      <c r="B194" s="14" t="s">
        <v>131</v>
      </c>
      <c r="C194" s="10" t="s">
        <v>306</v>
      </c>
      <c r="D194" s="89"/>
      <c r="E194" s="89"/>
      <c r="F194" s="89"/>
      <c r="G194" s="89" t="s">
        <v>275</v>
      </c>
      <c r="H194" s="89" t="s">
        <v>275</v>
      </c>
      <c r="I194" s="103"/>
      <c r="J194" s="94">
        <v>3390677291.5700002</v>
      </c>
      <c r="K194" s="94">
        <v>3390677291.5700002</v>
      </c>
      <c r="L194" s="89" t="s">
        <v>42</v>
      </c>
      <c r="M194" s="10" t="s">
        <v>64</v>
      </c>
      <c r="N194" s="11">
        <v>2580</v>
      </c>
      <c r="O194" s="12">
        <v>46053</v>
      </c>
      <c r="P194" s="10" t="s">
        <v>308</v>
      </c>
      <c r="Q194" s="34" t="s">
        <v>45</v>
      </c>
      <c r="R194" s="34" t="s">
        <v>46</v>
      </c>
      <c r="S194" s="94">
        <f t="shared" si="85"/>
        <v>3390677291.5700002</v>
      </c>
      <c r="T194" s="94"/>
      <c r="U194" s="94">
        <f>+S194*21%</f>
        <v>712042231.22969997</v>
      </c>
      <c r="V194" s="94">
        <v>0</v>
      </c>
      <c r="W194" s="94">
        <v>0</v>
      </c>
      <c r="X194" s="94">
        <f>+S194*3.5%</f>
        <v>118673705.20495002</v>
      </c>
      <c r="Y194" s="94"/>
      <c r="Z194" s="94"/>
      <c r="AA194" s="94">
        <f t="shared" si="74"/>
        <v>4221393228.0046501</v>
      </c>
      <c r="AB194" s="10"/>
      <c r="AC194" s="94"/>
      <c r="AD194" s="10"/>
      <c r="AE194" s="94"/>
      <c r="AF194" s="10"/>
      <c r="AG194" s="94"/>
      <c r="AH194" s="94"/>
      <c r="AI194" s="94">
        <f t="shared" si="83"/>
        <v>0</v>
      </c>
      <c r="AJ194" s="94">
        <f t="shared" si="84"/>
        <v>4221393228.0046501</v>
      </c>
      <c r="AK194" s="90" t="str">
        <f t="shared" si="80"/>
        <v>Pendiente</v>
      </c>
    </row>
    <row r="195" spans="1:37" ht="15" hidden="1" customHeight="1" x14ac:dyDescent="0.35">
      <c r="A195" s="32" t="s">
        <v>115</v>
      </c>
      <c r="B195" s="14" t="s">
        <v>80</v>
      </c>
      <c r="C195" s="32" t="s">
        <v>116</v>
      </c>
      <c r="D195" s="32" t="s">
        <v>116</v>
      </c>
      <c r="E195" s="89"/>
      <c r="F195" s="89"/>
      <c r="G195" s="89" t="s">
        <v>48</v>
      </c>
      <c r="H195" s="92">
        <v>46023</v>
      </c>
      <c r="I195" s="103"/>
      <c r="J195" s="94">
        <v>0</v>
      </c>
      <c r="K195" s="94">
        <v>0</v>
      </c>
      <c r="L195" s="89"/>
      <c r="M195" s="32" t="s">
        <v>64</v>
      </c>
      <c r="N195" s="33">
        <v>2593</v>
      </c>
      <c r="O195" s="12">
        <v>46108</v>
      </c>
      <c r="P195" s="32" t="s">
        <v>182</v>
      </c>
      <c r="Q195" s="17" t="s">
        <v>194</v>
      </c>
      <c r="R195" s="17">
        <v>364</v>
      </c>
      <c r="S195" s="94">
        <f t="shared" si="85"/>
        <v>0</v>
      </c>
      <c r="T195" s="94"/>
      <c r="U195" s="94">
        <f>+S195*21%</f>
        <v>0</v>
      </c>
      <c r="V195" s="94">
        <f>+S195*3%</f>
        <v>0</v>
      </c>
      <c r="W195" s="94">
        <f>+S195*2.5%</f>
        <v>0</v>
      </c>
      <c r="X195" s="94">
        <f>IF(A195="00-175",S195*0.06,0)</f>
        <v>0</v>
      </c>
      <c r="Y195" s="94"/>
      <c r="Z195" s="94"/>
      <c r="AA195" s="94">
        <f t="shared" si="74"/>
        <v>0</v>
      </c>
      <c r="AB195" s="30"/>
      <c r="AC195" s="94"/>
      <c r="AD195" s="98"/>
      <c r="AE195" s="94"/>
      <c r="AF195" s="32"/>
      <c r="AG195" s="94"/>
      <c r="AH195" s="94"/>
      <c r="AI195" s="94">
        <f t="shared" si="83"/>
        <v>0</v>
      </c>
      <c r="AJ195" s="94">
        <f t="shared" si="84"/>
        <v>0</v>
      </c>
      <c r="AK195" s="90" t="str">
        <f t="shared" si="80"/>
        <v>N/A</v>
      </c>
    </row>
    <row r="196" spans="1:37" ht="15" hidden="1" customHeight="1" x14ac:dyDescent="0.35">
      <c r="A196" s="27" t="s">
        <v>85</v>
      </c>
      <c r="B196" s="14" t="s">
        <v>80</v>
      </c>
      <c r="C196" s="27" t="s">
        <v>86</v>
      </c>
      <c r="D196" s="89"/>
      <c r="E196" s="89"/>
      <c r="F196" s="89"/>
      <c r="G196" s="89" t="s">
        <v>41</v>
      </c>
      <c r="H196" s="92">
        <v>46054</v>
      </c>
      <c r="I196" s="103"/>
      <c r="J196" s="94">
        <v>0</v>
      </c>
      <c r="K196" s="94">
        <v>0</v>
      </c>
      <c r="L196" s="89"/>
      <c r="M196" s="27" t="s">
        <v>64</v>
      </c>
      <c r="N196" s="28">
        <v>2597</v>
      </c>
      <c r="O196" s="12">
        <v>46132</v>
      </c>
      <c r="P196" s="27" t="s">
        <v>204</v>
      </c>
      <c r="Q196" s="17" t="s">
        <v>194</v>
      </c>
      <c r="R196" s="17">
        <v>365</v>
      </c>
      <c r="S196" s="94">
        <f t="shared" si="85"/>
        <v>0</v>
      </c>
      <c r="T196" s="94"/>
      <c r="U196" s="94">
        <f>+S196*21%</f>
        <v>0</v>
      </c>
      <c r="V196" s="94">
        <f>+S196*3%</f>
        <v>0</v>
      </c>
      <c r="W196" s="94">
        <f>+S196*2.5%</f>
        <v>0</v>
      </c>
      <c r="X196" s="94">
        <f>IF(A196="00-175",S196*0.06,0)</f>
        <v>0</v>
      </c>
      <c r="Y196" s="94"/>
      <c r="Z196" s="94"/>
      <c r="AA196" s="94">
        <f t="shared" si="74"/>
        <v>0</v>
      </c>
      <c r="AB196" s="29"/>
      <c r="AC196" s="94"/>
      <c r="AD196" s="98"/>
      <c r="AE196" s="94"/>
      <c r="AF196" s="27"/>
      <c r="AG196" s="94"/>
      <c r="AH196" s="94"/>
      <c r="AI196" s="94">
        <f t="shared" si="83"/>
        <v>0</v>
      </c>
      <c r="AJ196" s="94">
        <f t="shared" si="84"/>
        <v>0</v>
      </c>
      <c r="AK196" s="90" t="str">
        <f t="shared" si="80"/>
        <v>N/A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7"/>
      <c r="R197" s="10"/>
      <c r="S197" s="94">
        <f t="shared" si="85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80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10"/>
      <c r="R198" s="10"/>
      <c r="S198" s="94">
        <f t="shared" si="85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80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85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80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10"/>
      <c r="R200" s="10"/>
      <c r="S200" s="94">
        <f t="shared" si="85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80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85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80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85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80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7"/>
      <c r="R203" s="10"/>
      <c r="S203" s="94">
        <f t="shared" si="85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80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7"/>
      <c r="R204" s="10"/>
      <c r="S204" s="94">
        <f t="shared" si="85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80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10"/>
      <c r="R205" s="10"/>
      <c r="S205" s="94">
        <f t="shared" si="85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80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85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80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10"/>
      <c r="R207" s="10"/>
      <c r="S207" s="94">
        <f t="shared" si="85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80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85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80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85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80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7"/>
      <c r="R210" s="10"/>
      <c r="S210" s="94">
        <f t="shared" si="85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80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7"/>
      <c r="R211" s="10"/>
      <c r="S211" s="94">
        <f t="shared" si="85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80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10"/>
      <c r="R212" s="10"/>
      <c r="S212" s="94">
        <f t="shared" si="85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80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85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80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10"/>
      <c r="R214" s="10"/>
      <c r="S214" s="94">
        <f t="shared" si="85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80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85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80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85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80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7"/>
      <c r="R217" s="10"/>
      <c r="S217" s="94">
        <f t="shared" si="85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80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7"/>
      <c r="R218" s="10"/>
      <c r="S218" s="94">
        <f t="shared" si="85"/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80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10"/>
      <c r="R219" s="10"/>
      <c r="S219" s="94">
        <f t="shared" si="85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80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85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80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10"/>
      <c r="R221" s="10"/>
      <c r="S221" s="94">
        <f t="shared" ref="S221:S252" si="86">+J221</f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80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86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80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86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80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7"/>
      <c r="R224" s="10"/>
      <c r="S224" s="94">
        <f t="shared" si="86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80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7"/>
      <c r="R225" s="10"/>
      <c r="S225" s="94">
        <f t="shared" si="86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si="80"/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10"/>
      <c r="R226" s="10"/>
      <c r="S226" s="94">
        <f t="shared" si="86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80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86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80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10"/>
      <c r="R228" s="10"/>
      <c r="S228" s="94">
        <f t="shared" si="86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ref="AK228:AK291" si="87">IF(Q228="ANULADA","N/A",IF(ABS(AJ228)&gt;10,"Pendiente",IF(MAX(AB228,AD228,AF228)=0,"Pendiente",MAX(0,MAX(AB228,AD228,AF228)-O228))))</f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86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87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86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87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7"/>
      <c r="R231" s="10"/>
      <c r="S231" s="94">
        <f t="shared" si="86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87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7"/>
      <c r="R232" s="10"/>
      <c r="S232" s="94">
        <f t="shared" si="86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87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10"/>
      <c r="R233" s="10"/>
      <c r="S233" s="94">
        <f t="shared" si="86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87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86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87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10"/>
      <c r="R235" s="10"/>
      <c r="S235" s="94">
        <f t="shared" si="86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87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86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87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86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87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7"/>
      <c r="R238" s="10"/>
      <c r="S238" s="94">
        <f t="shared" si="86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87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7"/>
      <c r="R239" s="10"/>
      <c r="S239" s="94">
        <f t="shared" si="86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87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10"/>
      <c r="R240" s="10"/>
      <c r="S240" s="94">
        <f t="shared" si="86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87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86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87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10"/>
      <c r="R242" s="10"/>
      <c r="S242" s="94">
        <f t="shared" si="86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87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86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87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86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87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7"/>
      <c r="R245" s="10"/>
      <c r="S245" s="94">
        <f t="shared" si="86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87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7"/>
      <c r="R246" s="10"/>
      <c r="S246" s="94">
        <f t="shared" si="86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87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10"/>
      <c r="R247" s="10"/>
      <c r="S247" s="94">
        <f t="shared" si="86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87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86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87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10"/>
      <c r="R249" s="10"/>
      <c r="S249" s="94">
        <f t="shared" si="86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87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si="86"/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87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6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87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7"/>
      <c r="R252" s="10"/>
      <c r="S252" s="94">
        <f t="shared" si="86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87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7"/>
      <c r="R253" s="10"/>
      <c r="S253" s="94">
        <f t="shared" ref="S253:S266" si="88">+J253</f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87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10"/>
      <c r="R254" s="10"/>
      <c r="S254" s="94">
        <f t="shared" si="88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87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8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87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10"/>
      <c r="R256" s="10"/>
      <c r="S256" s="94">
        <f t="shared" si="88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87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8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87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8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87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7"/>
      <c r="R259" s="10"/>
      <c r="S259" s="94">
        <f t="shared" si="88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87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7"/>
      <c r="R260" s="10"/>
      <c r="S260" s="94">
        <f t="shared" si="88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87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10"/>
      <c r="R261" s="10"/>
      <c r="S261" s="94">
        <f t="shared" si="88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87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8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87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10"/>
      <c r="R263" s="10"/>
      <c r="S263" s="94">
        <f t="shared" si="88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87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>
        <f t="shared" si="88"/>
        <v>0</v>
      </c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87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>
        <f t="shared" si="88"/>
        <v>0</v>
      </c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87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7"/>
      <c r="R266" s="10"/>
      <c r="S266" s="94">
        <f t="shared" si="88"/>
        <v>0</v>
      </c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87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7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87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10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87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87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10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87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87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87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7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87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7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87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10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87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87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10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87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87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87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7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87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7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87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10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87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87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10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87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87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87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7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87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7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87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10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si="87"/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7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10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7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ref="AK292:AK355" si="89">IF(Q292="ANULADA","N/A",IF(ABS(AJ292)&gt;10,"Pendiente",IF(MAX(AB292,AD292,AF292)=0,"Pendiente",MAX(0,MAX(AB292,AD292,AF292)-O292))))</f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9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7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9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7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9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10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9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9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10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9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9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9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7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9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7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9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10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9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9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10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9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9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9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7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9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7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9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10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9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9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10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9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9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9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7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9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7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9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10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9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9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10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9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9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9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7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9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7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9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10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9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9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10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9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9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9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7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9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7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9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10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9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9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10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9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9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9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7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9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7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9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10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9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9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10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9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9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9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7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9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7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9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10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9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9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10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9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9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9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7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9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7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9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10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9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si="89"/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10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9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9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ref="AK356:AK419" si="90">IF(Q356="ANULADA","N/A",IF(ABS(AJ356)&gt;10,"Pendiente",IF(MAX(AB356,AD356,AF356)=0,"Pendiente",MAX(0,MAX(AB356,AD356,AF356)-O356))))</f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7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90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7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90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10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90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90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10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90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90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90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7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90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7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90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10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90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90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10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90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90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90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7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90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7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90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10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90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90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10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90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90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90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7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90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7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90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10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90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90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10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90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90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90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7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90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7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90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10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90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90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10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90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90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90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7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90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7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90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10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90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90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10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90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90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90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7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90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7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90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10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90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90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10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90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90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90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7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90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7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90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10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90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90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10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90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90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90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7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90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7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90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10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90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90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10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si="90"/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90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90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7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ref="AK420:AK483" si="91">IF(Q420="ANULADA","N/A",IF(ABS(AJ420)&gt;10,"Pendiente",IF(MAX(AB420,AD420,AF420)=0,"Pendiente",MAX(0,MAX(AB420,AD420,AF420)-O420))))</f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7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91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10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91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91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10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91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91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91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7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91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7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91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10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91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91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10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91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91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91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7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91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7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91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10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91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91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10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91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91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91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7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91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7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91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10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91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91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10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91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91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91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7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91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7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91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10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91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91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10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91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91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91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7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91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7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91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10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91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91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10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91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91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91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7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91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7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91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10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91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91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10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91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91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91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7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91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7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91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10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91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91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10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91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91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91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7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91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7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91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10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91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91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10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91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si="91"/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91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7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91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7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ref="AK484:AK545" si="92">IF(Q484="ANULADA","N/A",IF(ABS(AJ484)&gt;10,"Pendiente",IF(MAX(AB484,AD484,AF484)=0,"Pendiente",MAX(0,MAX(AB484,AD484,AF484)-O484))))</f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10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92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92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10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92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92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92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7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92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7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92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10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92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92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10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92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92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92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7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92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7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92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10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92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92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10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92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92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92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7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92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7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92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10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92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92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10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92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92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92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7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92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7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92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10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92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92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10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92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92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92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7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92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7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92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10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92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92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10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92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92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92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7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92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7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92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10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92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92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10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92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92"/>
        <v>Pendiente</v>
      </c>
    </row>
    <row r="531" spans="1:37" ht="15" hidden="1" customHeight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92"/>
        <v>Pendiente</v>
      </c>
    </row>
    <row r="532" spans="1:37" ht="15" hidden="1" customHeight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7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92"/>
        <v>Pendiente</v>
      </c>
    </row>
    <row r="533" spans="1:37" ht="15" hidden="1" customHeight="1" x14ac:dyDescent="0.35">
      <c r="A533" s="10"/>
      <c r="B533" s="10"/>
      <c r="C533" s="10"/>
      <c r="D533" s="89"/>
      <c r="E533" s="89"/>
      <c r="F533" s="89"/>
      <c r="G533" s="89"/>
      <c r="H533" s="92"/>
      <c r="I533" s="103"/>
      <c r="J533" s="94"/>
      <c r="K533" s="94"/>
      <c r="L533" s="89"/>
      <c r="M533" s="10"/>
      <c r="N533" s="11"/>
      <c r="O533" s="12"/>
      <c r="P533" s="10"/>
      <c r="Q533" s="7"/>
      <c r="R533" s="10"/>
      <c r="S533" s="94"/>
      <c r="T533" s="94"/>
      <c r="U533" s="94"/>
      <c r="V533" s="94"/>
      <c r="W533" s="94"/>
      <c r="X533" s="94"/>
      <c r="Y533" s="94"/>
      <c r="Z533" s="94"/>
      <c r="AA533" s="94"/>
      <c r="AB533" s="10"/>
      <c r="AC533" s="94"/>
      <c r="AD533" s="10"/>
      <c r="AE533" s="94"/>
      <c r="AF533" s="10"/>
      <c r="AG533" s="94"/>
      <c r="AH533" s="94"/>
      <c r="AI533" s="94"/>
      <c r="AJ533" s="94"/>
      <c r="AK533" s="90" t="str">
        <f t="shared" si="92"/>
        <v>Pendiente</v>
      </c>
    </row>
    <row r="534" spans="1:37" hidden="1" x14ac:dyDescent="0.35">
      <c r="A534" s="10"/>
      <c r="B534" s="10"/>
      <c r="C534" s="10"/>
      <c r="D534" s="89"/>
      <c r="E534" s="89"/>
      <c r="F534" s="89"/>
      <c r="G534" s="89"/>
      <c r="H534" s="92"/>
      <c r="I534" s="103"/>
      <c r="J534" s="94"/>
      <c r="K534" s="94"/>
      <c r="L534" s="89"/>
      <c r="M534" s="10"/>
      <c r="N534" s="11"/>
      <c r="O534" s="12"/>
      <c r="P534" s="10"/>
      <c r="Q534" s="10"/>
      <c r="R534" s="10"/>
      <c r="S534" s="94"/>
      <c r="T534" s="94"/>
      <c r="U534" s="94"/>
      <c r="V534" s="94"/>
      <c r="W534" s="94"/>
      <c r="X534" s="94"/>
      <c r="Y534" s="94"/>
      <c r="Z534" s="94"/>
      <c r="AA534" s="94"/>
      <c r="AB534" s="10"/>
      <c r="AC534" s="94"/>
      <c r="AD534" s="10"/>
      <c r="AE534" s="94"/>
      <c r="AF534" s="10"/>
      <c r="AG534" s="94"/>
      <c r="AH534" s="94"/>
      <c r="AI534" s="94"/>
      <c r="AJ534" s="94"/>
      <c r="AK534" s="90" t="str">
        <f t="shared" si="92"/>
        <v>Pendiente</v>
      </c>
    </row>
    <row r="535" spans="1:37" hidden="1" x14ac:dyDescent="0.35">
      <c r="A535" s="10"/>
      <c r="B535" s="10"/>
      <c r="C535" s="10"/>
      <c r="D535" s="89"/>
      <c r="E535" s="89"/>
      <c r="F535" s="89"/>
      <c r="G535" s="89"/>
      <c r="H535" s="92"/>
      <c r="I535" s="103"/>
      <c r="J535" s="94"/>
      <c r="K535" s="94"/>
      <c r="L535" s="89"/>
      <c r="M535" s="10"/>
      <c r="N535" s="11"/>
      <c r="O535" s="12"/>
      <c r="P535" s="10"/>
      <c r="Q535" s="10"/>
      <c r="R535" s="10"/>
      <c r="S535" s="94"/>
      <c r="T535" s="94"/>
      <c r="U535" s="94"/>
      <c r="V535" s="94"/>
      <c r="W535" s="94"/>
      <c r="X535" s="94"/>
      <c r="Y535" s="94"/>
      <c r="Z535" s="94"/>
      <c r="AA535" s="94"/>
      <c r="AB535" s="10"/>
      <c r="AC535" s="94"/>
      <c r="AD535" s="10"/>
      <c r="AE535" s="94"/>
      <c r="AF535" s="10"/>
      <c r="AG535" s="94"/>
      <c r="AH535" s="94"/>
      <c r="AI535" s="94"/>
      <c r="AJ535" s="94"/>
      <c r="AK535" s="90" t="str">
        <f t="shared" si="92"/>
        <v>Pendiente</v>
      </c>
    </row>
    <row r="536" spans="1:37" ht="15" hidden="1" customHeight="1" x14ac:dyDescent="0.35">
      <c r="A536" s="10" t="s">
        <v>305</v>
      </c>
      <c r="B536" s="14" t="s">
        <v>131</v>
      </c>
      <c r="C536" s="10" t="s">
        <v>306</v>
      </c>
      <c r="D536" s="89" t="s">
        <v>309</v>
      </c>
      <c r="E536" s="89">
        <v>1</v>
      </c>
      <c r="F536" s="89" t="s">
        <v>310</v>
      </c>
      <c r="G536" s="89" t="s">
        <v>41</v>
      </c>
      <c r="H536" s="92">
        <v>45992</v>
      </c>
      <c r="I536" s="103">
        <f>+J536</f>
        <v>729734465.16999996</v>
      </c>
      <c r="J536" s="115">
        <v>729734465.16999996</v>
      </c>
      <c r="K536" s="115">
        <v>0</v>
      </c>
      <c r="L536" s="89" t="s">
        <v>42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ref="U536:U545" si="93">+S536*21%</f>
        <v>0</v>
      </c>
      <c r="V536" s="94">
        <f t="shared" ref="V536:V545" si="94">+S536*3%</f>
        <v>0</v>
      </c>
      <c r="W536" s="94">
        <f t="shared" ref="W536:W545" si="95">+S536*2.5%</f>
        <v>0</v>
      </c>
      <c r="X536" s="94">
        <f t="shared" ref="X536:X545" si="96">IF(A536="00-175",S536*0.06,0)</f>
        <v>0</v>
      </c>
      <c r="Y536" s="94"/>
      <c r="Z536" s="94"/>
      <c r="AA536" s="94">
        <f t="shared" ref="AA536:AA545" si="97">+S536+T536+U536+W536+X536+V536+Y536</f>
        <v>0</v>
      </c>
      <c r="AB536" s="10"/>
      <c r="AC536" s="94"/>
      <c r="AD536" s="10"/>
      <c r="AE536" s="94"/>
      <c r="AF536" s="10"/>
      <c r="AG536" s="94"/>
      <c r="AH536" s="94"/>
      <c r="AI536" s="94">
        <f t="shared" ref="AI536:AI545" si="98">+AC536+AE536+AG536+AH536</f>
        <v>0</v>
      </c>
      <c r="AJ536" s="94">
        <f t="shared" ref="AJ536:AJ545" si="99">+AA536-AI536</f>
        <v>0</v>
      </c>
      <c r="AK536" s="90" t="s">
        <v>46</v>
      </c>
    </row>
    <row r="537" spans="1:37" ht="15" hidden="1" customHeight="1" x14ac:dyDescent="0.35">
      <c r="A537" s="10" t="s">
        <v>305</v>
      </c>
      <c r="B537" s="14" t="s">
        <v>131</v>
      </c>
      <c r="C537" s="10" t="s">
        <v>306</v>
      </c>
      <c r="D537" s="89" t="s">
        <v>309</v>
      </c>
      <c r="E537" s="89">
        <v>1</v>
      </c>
      <c r="F537" s="89" t="s">
        <v>311</v>
      </c>
      <c r="G537" s="89" t="s">
        <v>48</v>
      </c>
      <c r="H537" s="92">
        <v>45992</v>
      </c>
      <c r="I537" s="103">
        <f t="shared" ref="I537:I545" si="100">+J537</f>
        <v>31374002.73</v>
      </c>
      <c r="J537" s="115">
        <v>31374002.73</v>
      </c>
      <c r="K537" s="115">
        <v>0</v>
      </c>
      <c r="L537" s="89" t="s">
        <v>42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93"/>
        <v>0</v>
      </c>
      <c r="V537" s="94">
        <f t="shared" si="94"/>
        <v>0</v>
      </c>
      <c r="W537" s="94">
        <f t="shared" si="95"/>
        <v>0</v>
      </c>
      <c r="X537" s="94">
        <f t="shared" si="96"/>
        <v>0</v>
      </c>
      <c r="Y537" s="94"/>
      <c r="Z537" s="94"/>
      <c r="AA537" s="94">
        <f t="shared" si="97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8"/>
        <v>0</v>
      </c>
      <c r="AJ537" s="94">
        <f t="shared" si="99"/>
        <v>0</v>
      </c>
      <c r="AK537" s="90" t="s">
        <v>46</v>
      </c>
    </row>
    <row r="538" spans="1:37" ht="15" hidden="1" customHeight="1" x14ac:dyDescent="0.35">
      <c r="A538" s="10" t="s">
        <v>305</v>
      </c>
      <c r="B538" s="14" t="s">
        <v>131</v>
      </c>
      <c r="C538" s="10" t="s">
        <v>306</v>
      </c>
      <c r="D538" s="89" t="s">
        <v>309</v>
      </c>
      <c r="E538" s="89">
        <v>2</v>
      </c>
      <c r="F538" s="89" t="s">
        <v>312</v>
      </c>
      <c r="G538" s="89" t="s">
        <v>41</v>
      </c>
      <c r="H538" s="92">
        <v>46023</v>
      </c>
      <c r="I538" s="103">
        <f t="shared" si="100"/>
        <v>557690725.71000004</v>
      </c>
      <c r="J538" s="116">
        <v>557690725.71000004</v>
      </c>
      <c r="K538" s="116">
        <v>0</v>
      </c>
      <c r="L538" s="89" t="s">
        <v>42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93"/>
        <v>0</v>
      </c>
      <c r="V538" s="94">
        <f t="shared" si="94"/>
        <v>0</v>
      </c>
      <c r="W538" s="94">
        <f t="shared" si="95"/>
        <v>0</v>
      </c>
      <c r="X538" s="94">
        <f t="shared" si="96"/>
        <v>0</v>
      </c>
      <c r="Y538" s="94"/>
      <c r="Z538" s="94"/>
      <c r="AA538" s="94">
        <f t="shared" si="97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8"/>
        <v>0</v>
      </c>
      <c r="AJ538" s="94">
        <f t="shared" si="99"/>
        <v>0</v>
      </c>
      <c r="AK538" s="90" t="s">
        <v>46</v>
      </c>
    </row>
    <row r="539" spans="1:37" ht="15" hidden="1" customHeight="1" x14ac:dyDescent="0.35">
      <c r="A539" s="10" t="s">
        <v>305</v>
      </c>
      <c r="B539" s="14" t="s">
        <v>131</v>
      </c>
      <c r="C539" s="10" t="s">
        <v>306</v>
      </c>
      <c r="D539" s="89" t="s">
        <v>309</v>
      </c>
      <c r="E539" s="89">
        <v>2</v>
      </c>
      <c r="F539" s="89" t="s">
        <v>313</v>
      </c>
      <c r="G539" s="89" t="s">
        <v>48</v>
      </c>
      <c r="H539" s="92">
        <v>46023</v>
      </c>
      <c r="I539" s="103">
        <f t="shared" si="100"/>
        <v>23659033.460000001</v>
      </c>
      <c r="J539" s="116">
        <v>23659033.460000001</v>
      </c>
      <c r="K539" s="116">
        <v>0</v>
      </c>
      <c r="L539" s="89" t="s">
        <v>42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93"/>
        <v>0</v>
      </c>
      <c r="V539" s="94">
        <f t="shared" si="94"/>
        <v>0</v>
      </c>
      <c r="W539" s="94">
        <f t="shared" si="95"/>
        <v>0</v>
      </c>
      <c r="X539" s="94">
        <f t="shared" si="96"/>
        <v>0</v>
      </c>
      <c r="Y539" s="94"/>
      <c r="Z539" s="94"/>
      <c r="AA539" s="94">
        <f t="shared" si="97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8"/>
        <v>0</v>
      </c>
      <c r="AJ539" s="94">
        <f t="shared" si="99"/>
        <v>0</v>
      </c>
      <c r="AK539" s="90" t="s">
        <v>46</v>
      </c>
    </row>
    <row r="540" spans="1:37" ht="15" hidden="1" customHeight="1" x14ac:dyDescent="0.35">
      <c r="A540" s="10" t="s">
        <v>305</v>
      </c>
      <c r="B540" s="14" t="s">
        <v>131</v>
      </c>
      <c r="C540" s="10" t="s">
        <v>306</v>
      </c>
      <c r="D540" s="89" t="s">
        <v>309</v>
      </c>
      <c r="E540" s="89">
        <v>3</v>
      </c>
      <c r="F540" s="89" t="s">
        <v>314</v>
      </c>
      <c r="G540" s="89" t="s">
        <v>41</v>
      </c>
      <c r="H540" s="92">
        <v>46054</v>
      </c>
      <c r="I540" s="103">
        <v>984953210.48000002</v>
      </c>
      <c r="J540" s="103">
        <v>984953210.48000002</v>
      </c>
      <c r="K540" s="103">
        <v>0</v>
      </c>
      <c r="L540" s="89" t="s">
        <v>42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93"/>
        <v>0</v>
      </c>
      <c r="V540" s="94">
        <f t="shared" si="94"/>
        <v>0</v>
      </c>
      <c r="W540" s="94">
        <f t="shared" si="95"/>
        <v>0</v>
      </c>
      <c r="X540" s="94">
        <f t="shared" si="96"/>
        <v>0</v>
      </c>
      <c r="Y540" s="94"/>
      <c r="Z540" s="94"/>
      <c r="AA540" s="94">
        <f t="shared" si="97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8"/>
        <v>0</v>
      </c>
      <c r="AJ540" s="94">
        <f t="shared" si="99"/>
        <v>0</v>
      </c>
      <c r="AK540" s="90" t="s">
        <v>46</v>
      </c>
    </row>
    <row r="541" spans="1:37" ht="15" hidden="1" customHeight="1" x14ac:dyDescent="0.35">
      <c r="A541" s="10" t="s">
        <v>305</v>
      </c>
      <c r="B541" s="14" t="s">
        <v>131</v>
      </c>
      <c r="C541" s="10" t="s">
        <v>306</v>
      </c>
      <c r="D541" s="89" t="s">
        <v>309</v>
      </c>
      <c r="E541" s="89">
        <v>3</v>
      </c>
      <c r="F541" s="89" t="s">
        <v>315</v>
      </c>
      <c r="G541" s="89" t="s">
        <v>48</v>
      </c>
      <c r="H541" s="92">
        <v>46054</v>
      </c>
      <c r="I541" s="103">
        <v>53400729.170000002</v>
      </c>
      <c r="J541" s="103">
        <v>53400729.170000002</v>
      </c>
      <c r="K541" s="103">
        <v>0</v>
      </c>
      <c r="L541" s="89" t="s">
        <v>42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93"/>
        <v>0</v>
      </c>
      <c r="V541" s="94">
        <f t="shared" si="94"/>
        <v>0</v>
      </c>
      <c r="W541" s="94">
        <f t="shared" si="95"/>
        <v>0</v>
      </c>
      <c r="X541" s="94">
        <f t="shared" si="96"/>
        <v>0</v>
      </c>
      <c r="Y541" s="94"/>
      <c r="Z541" s="94"/>
      <c r="AA541" s="94">
        <f t="shared" si="97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8"/>
        <v>0</v>
      </c>
      <c r="AJ541" s="94">
        <f t="shared" si="99"/>
        <v>0</v>
      </c>
      <c r="AK541" s="90" t="s">
        <v>46</v>
      </c>
    </row>
    <row r="542" spans="1:37" ht="15" hidden="1" customHeight="1" x14ac:dyDescent="0.35">
      <c r="A542" s="10" t="s">
        <v>305</v>
      </c>
      <c r="B542" s="14" t="s">
        <v>131</v>
      </c>
      <c r="C542" s="10" t="s">
        <v>306</v>
      </c>
      <c r="D542" s="89" t="s">
        <v>309</v>
      </c>
      <c r="E542" s="89">
        <v>4</v>
      </c>
      <c r="F542" s="89" t="s">
        <v>316</v>
      </c>
      <c r="G542" s="89" t="s">
        <v>41</v>
      </c>
      <c r="H542" s="92">
        <v>46082</v>
      </c>
      <c r="I542" s="103">
        <f>+J542-K542</f>
        <v>639402139.55999994</v>
      </c>
      <c r="J542" s="116">
        <v>639402139.55999994</v>
      </c>
      <c r="K542" s="116">
        <v>0</v>
      </c>
      <c r="L542" s="89" t="s">
        <v>42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93"/>
        <v>0</v>
      </c>
      <c r="V542" s="94">
        <f t="shared" si="94"/>
        <v>0</v>
      </c>
      <c r="W542" s="94">
        <f t="shared" si="95"/>
        <v>0</v>
      </c>
      <c r="X542" s="94">
        <f t="shared" si="96"/>
        <v>0</v>
      </c>
      <c r="Y542" s="94"/>
      <c r="Z542" s="94"/>
      <c r="AA542" s="94">
        <f t="shared" si="97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8"/>
        <v>0</v>
      </c>
      <c r="AJ542" s="94">
        <f t="shared" si="99"/>
        <v>0</v>
      </c>
      <c r="AK542" s="90" t="s">
        <v>46</v>
      </c>
    </row>
    <row r="543" spans="1:37" ht="15" hidden="1" customHeight="1" x14ac:dyDescent="0.35">
      <c r="A543" s="10" t="s">
        <v>305</v>
      </c>
      <c r="B543" s="14" t="s">
        <v>131</v>
      </c>
      <c r="C543" s="10" t="s">
        <v>306</v>
      </c>
      <c r="D543" s="89" t="s">
        <v>309</v>
      </c>
      <c r="E543" s="89">
        <v>4</v>
      </c>
      <c r="F543" s="89" t="s">
        <v>317</v>
      </c>
      <c r="G543" s="89" t="s">
        <v>48</v>
      </c>
      <c r="H543" s="92">
        <v>46082</v>
      </c>
      <c r="I543" s="103">
        <f t="shared" si="100"/>
        <v>40901771.390000001</v>
      </c>
      <c r="J543" s="116">
        <v>40901771.390000001</v>
      </c>
      <c r="K543" s="116">
        <v>0</v>
      </c>
      <c r="L543" s="89" t="s">
        <v>42</v>
      </c>
      <c r="M543" s="10"/>
      <c r="N543" s="33"/>
      <c r="O543" s="12"/>
      <c r="P543" s="10"/>
      <c r="Q543" s="10"/>
      <c r="R543" s="10"/>
      <c r="S543" s="94"/>
      <c r="T543" s="94"/>
      <c r="U543" s="94">
        <f t="shared" si="93"/>
        <v>0</v>
      </c>
      <c r="V543" s="94">
        <f t="shared" si="94"/>
        <v>0</v>
      </c>
      <c r="W543" s="94">
        <f t="shared" si="95"/>
        <v>0</v>
      </c>
      <c r="X543" s="94">
        <f t="shared" si="96"/>
        <v>0</v>
      </c>
      <c r="Y543" s="94"/>
      <c r="Z543" s="94"/>
      <c r="AA543" s="94">
        <f t="shared" si="97"/>
        <v>0</v>
      </c>
      <c r="AB543" s="10"/>
      <c r="AC543" s="94"/>
      <c r="AD543" s="10"/>
      <c r="AE543" s="94"/>
      <c r="AF543" s="10"/>
      <c r="AG543" s="94"/>
      <c r="AH543" s="94"/>
      <c r="AI543" s="94">
        <f t="shared" si="98"/>
        <v>0</v>
      </c>
      <c r="AJ543" s="94">
        <f t="shared" si="99"/>
        <v>0</v>
      </c>
      <c r="AK543" s="90" t="s">
        <v>46</v>
      </c>
    </row>
    <row r="544" spans="1:37" ht="15" hidden="1" customHeight="1" x14ac:dyDescent="0.35">
      <c r="A544" s="10" t="s">
        <v>305</v>
      </c>
      <c r="B544" s="14" t="s">
        <v>131</v>
      </c>
      <c r="C544" s="10" t="s">
        <v>306</v>
      </c>
      <c r="D544" s="89" t="s">
        <v>309</v>
      </c>
      <c r="E544" s="89">
        <v>5</v>
      </c>
      <c r="F544" s="89" t="s">
        <v>318</v>
      </c>
      <c r="G544" s="89" t="s">
        <v>41</v>
      </c>
      <c r="H544" s="92">
        <v>46113</v>
      </c>
      <c r="I544" s="103">
        <f>+J544-K544</f>
        <v>424156102.47000003</v>
      </c>
      <c r="J544" s="116">
        <v>792977332.10000002</v>
      </c>
      <c r="K544" s="116">
        <v>368821229.63</v>
      </c>
      <c r="L544" s="89" t="s">
        <v>235</v>
      </c>
      <c r="M544" s="10"/>
      <c r="N544" s="33"/>
      <c r="O544" s="12"/>
      <c r="P544" s="10"/>
      <c r="Q544" s="10"/>
      <c r="R544" s="10"/>
      <c r="S544" s="94"/>
      <c r="T544" s="94"/>
      <c r="U544" s="94">
        <f t="shared" si="93"/>
        <v>0</v>
      </c>
      <c r="V544" s="94">
        <f t="shared" si="94"/>
        <v>0</v>
      </c>
      <c r="W544" s="94">
        <f t="shared" si="95"/>
        <v>0</v>
      </c>
      <c r="X544" s="94">
        <f t="shared" si="96"/>
        <v>0</v>
      </c>
      <c r="Y544" s="94"/>
      <c r="Z544" s="94"/>
      <c r="AA544" s="94">
        <f t="shared" si="97"/>
        <v>0</v>
      </c>
      <c r="AB544" s="10"/>
      <c r="AC544" s="94"/>
      <c r="AD544" s="10"/>
      <c r="AE544" s="94"/>
      <c r="AF544" s="10"/>
      <c r="AG544" s="94"/>
      <c r="AH544" s="94"/>
      <c r="AI544" s="94">
        <f t="shared" si="98"/>
        <v>0</v>
      </c>
      <c r="AJ544" s="94">
        <f t="shared" si="99"/>
        <v>0</v>
      </c>
      <c r="AK544" s="90" t="str">
        <f t="shared" si="92"/>
        <v>Pendiente</v>
      </c>
    </row>
    <row r="545" spans="1:37" ht="15" hidden="1" customHeight="1" x14ac:dyDescent="0.35">
      <c r="A545" s="10" t="s">
        <v>305</v>
      </c>
      <c r="B545" s="14" t="s">
        <v>131</v>
      </c>
      <c r="C545" s="10" t="s">
        <v>306</v>
      </c>
      <c r="D545" s="89" t="s">
        <v>309</v>
      </c>
      <c r="E545" s="89">
        <v>5</v>
      </c>
      <c r="F545" s="89" t="s">
        <v>319</v>
      </c>
      <c r="G545" s="89" t="s">
        <v>48</v>
      </c>
      <c r="H545" s="92">
        <v>46113</v>
      </c>
      <c r="I545" s="103">
        <f t="shared" si="100"/>
        <v>56045106.539999999</v>
      </c>
      <c r="J545" s="116">
        <v>56045106.539999999</v>
      </c>
      <c r="K545" s="116">
        <v>0</v>
      </c>
      <c r="L545" s="89" t="s">
        <v>235</v>
      </c>
      <c r="M545" s="10"/>
      <c r="N545" s="33"/>
      <c r="O545" s="12"/>
      <c r="P545" s="10"/>
      <c r="Q545" s="10"/>
      <c r="R545" s="10"/>
      <c r="S545" s="94"/>
      <c r="T545" s="94"/>
      <c r="U545" s="94">
        <f t="shared" si="93"/>
        <v>0</v>
      </c>
      <c r="V545" s="94">
        <f t="shared" si="94"/>
        <v>0</v>
      </c>
      <c r="W545" s="94">
        <f t="shared" si="95"/>
        <v>0</v>
      </c>
      <c r="X545" s="94">
        <f t="shared" si="96"/>
        <v>0</v>
      </c>
      <c r="Y545" s="94"/>
      <c r="Z545" s="94"/>
      <c r="AA545" s="94">
        <f t="shared" si="97"/>
        <v>0</v>
      </c>
      <c r="AB545" s="10"/>
      <c r="AC545" s="94"/>
      <c r="AD545" s="10"/>
      <c r="AE545" s="94"/>
      <c r="AF545" s="10"/>
      <c r="AG545" s="94"/>
      <c r="AH545" s="94"/>
      <c r="AI545" s="94">
        <f t="shared" si="98"/>
        <v>0</v>
      </c>
      <c r="AJ545" s="94">
        <f t="shared" si="99"/>
        <v>0</v>
      </c>
      <c r="AK545" s="90" t="str">
        <f t="shared" si="92"/>
        <v>Pendiente</v>
      </c>
    </row>
    <row r="546" spans="1:37" ht="15" hidden="1" customHeight="1" x14ac:dyDescent="0.35">
      <c r="A546" s="10"/>
      <c r="B546" s="14"/>
      <c r="C546" s="10"/>
      <c r="D546" s="89"/>
      <c r="E546" s="89"/>
      <c r="F546" s="89"/>
      <c r="G546" s="89"/>
      <c r="H546" s="92"/>
      <c r="I546" s="103"/>
      <c r="J546" s="116"/>
      <c r="K546" s="116"/>
      <c r="L546" s="89"/>
      <c r="M546" s="10"/>
      <c r="N546" s="33"/>
      <c r="O546" s="12"/>
      <c r="P546" s="10"/>
      <c r="Q546" s="10"/>
      <c r="R546" s="10"/>
      <c r="S546" s="94"/>
      <c r="T546" s="94"/>
      <c r="U546" s="94">
        <f t="shared" ref="U546:U547" si="101">+S546*21%</f>
        <v>0</v>
      </c>
      <c r="V546" s="94">
        <f t="shared" ref="V546:V547" si="102">+S546*3%</f>
        <v>0</v>
      </c>
      <c r="W546" s="94">
        <f t="shared" ref="W546" si="103">+S546*2.5%</f>
        <v>0</v>
      </c>
      <c r="X546" s="94">
        <f t="shared" ref="X546:X547" si="104">IF(A546="00-175",S546*0.06,0)</f>
        <v>0</v>
      </c>
      <c r="Y546" s="94"/>
      <c r="Z546" s="94"/>
      <c r="AA546" s="94">
        <f t="shared" ref="AA546:AA547" si="105">+S546+T546+U546+W546+X546+V546+Y546</f>
        <v>0</v>
      </c>
      <c r="AB546" s="10"/>
      <c r="AC546" s="94"/>
      <c r="AD546" s="10"/>
      <c r="AE546" s="94"/>
      <c r="AF546" s="10"/>
      <c r="AG546" s="94"/>
      <c r="AH546" s="94"/>
      <c r="AI546" s="94">
        <f t="shared" ref="AI546" si="106">+AC546+AE546+AG546+AH546</f>
        <v>0</v>
      </c>
      <c r="AJ546" s="94">
        <f t="shared" ref="AJ546:AJ547" si="107">+AA546-AI546</f>
        <v>0</v>
      </c>
      <c r="AK546" s="90" t="str">
        <f t="shared" ref="AK546:AK547" si="108">IF(Q546="ANULADA","N/A",IF(ABS(AJ546)&gt;10,"Pendiente",IF(MAX(AB546,AD546,AF546)=0,"Pendiente",MAX(0,MAX(AB546,AD546,AF546)-O546))))</f>
        <v>Pendiente</v>
      </c>
    </row>
    <row r="547" spans="1:37" ht="15" hidden="1" customHeight="1" x14ac:dyDescent="0.35">
      <c r="A547" s="10" t="s">
        <v>79</v>
      </c>
      <c r="B547" s="14" t="s">
        <v>80</v>
      </c>
      <c r="C547" s="10" t="s">
        <v>81</v>
      </c>
      <c r="D547" s="89" t="s">
        <v>82</v>
      </c>
      <c r="E547" s="89">
        <v>11</v>
      </c>
      <c r="F547" s="89" t="s">
        <v>83</v>
      </c>
      <c r="G547" s="89" t="s">
        <v>41</v>
      </c>
      <c r="H547" s="92">
        <v>46113</v>
      </c>
      <c r="I547" s="103"/>
      <c r="J547" s="94">
        <v>17785558.379999999</v>
      </c>
      <c r="K547" s="94">
        <f>+J547</f>
        <v>17785558.379999999</v>
      </c>
      <c r="L547" s="89" t="s">
        <v>235</v>
      </c>
      <c r="M547" s="10"/>
      <c r="N547" s="33"/>
      <c r="O547" s="12"/>
      <c r="P547" s="10"/>
      <c r="Q547" s="10"/>
      <c r="R547" s="10"/>
      <c r="S547" s="94"/>
      <c r="T547" s="94"/>
      <c r="U547" s="94">
        <f t="shared" si="101"/>
        <v>0</v>
      </c>
      <c r="V547" s="94">
        <f t="shared" si="102"/>
        <v>0</v>
      </c>
      <c r="W547" s="94">
        <f>+S547*2.5%</f>
        <v>0</v>
      </c>
      <c r="X547" s="94">
        <f t="shared" si="104"/>
        <v>0</v>
      </c>
      <c r="Y547" s="94"/>
      <c r="Z547" s="94"/>
      <c r="AA547" s="94">
        <f t="shared" si="105"/>
        <v>0</v>
      </c>
      <c r="AB547" s="29"/>
      <c r="AC547" s="94"/>
      <c r="AD547" s="10"/>
      <c r="AE547" s="94"/>
      <c r="AF547" s="10"/>
      <c r="AG547" s="94"/>
      <c r="AH547" s="94"/>
      <c r="AI547" s="94">
        <f>+AC547+AE547+AG547+AH547</f>
        <v>0</v>
      </c>
      <c r="AJ547" s="94">
        <f t="shared" si="107"/>
        <v>0</v>
      </c>
      <c r="AK547" s="90" t="str">
        <f t="shared" si="108"/>
        <v>Pendiente</v>
      </c>
    </row>
  </sheetData>
  <autoFilter ref="A1:AL547" xr:uid="{5A8C97C7-1B0D-4A6A-98DD-BAF1D96B2F33}">
    <filterColumn colId="0">
      <filters>
        <filter val="00-530"/>
      </filters>
    </filterColumn>
  </autoFilter>
  <conditionalFormatting sqref="A2:AK547">
    <cfRule type="expression" dxfId="27" priority="1" stopIfTrue="1">
      <formula>$Q2="ANULADA"</formula>
    </cfRule>
    <cfRule type="expression" dxfId="26" priority="2" stopIfTrue="1">
      <formula>LEFT($M2,2)="NC"</formula>
    </cfRule>
    <cfRule type="expression" dxfId="25" priority="3" stopIfTrue="1">
      <formula>AND($Q2&lt;&gt;"ANULADA",$AI2&gt;0,$AJ2&lt;-10)</formula>
    </cfRule>
    <cfRule type="expression" dxfId="24" priority="4" stopIfTrue="1">
      <formula>AND($Q2&lt;&gt;"ANULADA",$AI2&gt;0,ABS($AJ2)&lt;=10)</formula>
    </cfRule>
    <cfRule type="expression" dxfId="23" priority="5" stopIfTrue="1">
      <formula>AND($Q2&lt;&gt;"ANULADA",$AI2&gt;0,$AJ2&gt;10)</formula>
    </cfRule>
    <cfRule type="expression" dxfId="22" priority="6" stopIfTrue="1">
      <formula>AND($Q2&lt;&gt;"ANULADA",$AA2&gt;0,OR($AI2=0,$AI2=""))</formula>
    </cfRule>
    <cfRule type="expression" dxfId="21" priority="7" stopIfTrue="1">
      <formula>$A2&lt;&gt;""</formula>
    </cfRule>
  </conditionalFormatting>
  <dataValidations count="1">
    <dataValidation type="list" allowBlank="1" showInputMessage="1" showErrorMessage="1" sqref="L2:L547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E8" sqref="E8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322</v>
      </c>
      <c r="B4" s="40" t="s">
        <v>323</v>
      </c>
    </row>
    <row r="5" spans="1:11" x14ac:dyDescent="0.35">
      <c r="A5" s="41" t="s">
        <v>324</v>
      </c>
      <c r="B5" s="42">
        <v>0.24970000000000001</v>
      </c>
      <c r="C5" s="43" t="s">
        <v>325</v>
      </c>
    </row>
    <row r="6" spans="1:11" x14ac:dyDescent="0.35">
      <c r="A6" s="41" t="s">
        <v>326</v>
      </c>
      <c r="B6" s="44">
        <v>60</v>
      </c>
      <c r="C6" s="43" t="s">
        <v>327</v>
      </c>
    </row>
    <row r="7" spans="1:11" x14ac:dyDescent="0.35">
      <c r="A7" s="45" t="s">
        <v>328</v>
      </c>
      <c r="B7" s="46">
        <f ca="1">TODAY()</f>
        <v>46181</v>
      </c>
    </row>
    <row r="8" spans="1:11" ht="10" customHeight="1" x14ac:dyDescent="0.35"/>
    <row r="9" spans="1:11" ht="42" customHeight="1" x14ac:dyDescent="0.35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336</v>
      </c>
      <c r="I9" s="47" t="s">
        <v>337</v>
      </c>
      <c r="J9" s="47" t="s">
        <v>338</v>
      </c>
      <c r="K9" s="47" t="s">
        <v>339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86</v>
      </c>
      <c r="H10" s="52">
        <f>'[1]Facturas desde 2025'!P4</f>
        <v>50402510.509999998</v>
      </c>
      <c r="I10" s="53">
        <f>$B$5+3%</f>
        <v>0.2797</v>
      </c>
      <c r="J10" s="54">
        <f ca="1">H10*I10*(G10/365)</f>
        <v>3321622.1049579233</v>
      </c>
      <c r="K10" s="55">
        <f t="shared" ref="K10:K27" ca="1" si="3">H10+J10</f>
        <v>53724132.614957921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86</v>
      </c>
      <c r="H11" s="59">
        <f>'[1]Facturas desde 2025'!P5</f>
        <v>677271.96</v>
      </c>
      <c r="I11" s="53">
        <f t="shared" ref="I11:I27" si="4">$B$5+3%</f>
        <v>0.2797</v>
      </c>
      <c r="J11" s="60">
        <f t="shared" ref="J11:J27" ca="1" si="5">H11*I11*(G11/365)</f>
        <v>44633.521041731503</v>
      </c>
      <c r="K11" s="61">
        <f t="shared" ca="1" si="3"/>
        <v>721905.48104173143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86</v>
      </c>
      <c r="H12" s="52">
        <f>'[1]Facturas desde 2025'!P6</f>
        <v>17699825.399999999</v>
      </c>
      <c r="I12" s="53">
        <f t="shared" si="4"/>
        <v>0.2797</v>
      </c>
      <c r="J12" s="54">
        <f t="shared" ca="1" si="5"/>
        <v>1166452.4387306301</v>
      </c>
      <c r="K12" s="55">
        <f t="shared" ca="1" si="3"/>
        <v>18866277.83873063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86</v>
      </c>
      <c r="H13" s="59">
        <f>'[1]Facturas desde 2025'!P7</f>
        <v>1015907.94</v>
      </c>
      <c r="I13" s="53">
        <f t="shared" si="4"/>
        <v>0.2797</v>
      </c>
      <c r="J13" s="60">
        <f t="shared" ca="1" si="5"/>
        <v>66950.281562597258</v>
      </c>
      <c r="K13" s="61">
        <f t="shared" ca="1" si="3"/>
        <v>1082858.2215625972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86</v>
      </c>
      <c r="H14" s="52">
        <f>'[1]Facturas desde 2025'!P8</f>
        <v>27253875.190000001</v>
      </c>
      <c r="I14" s="53">
        <f t="shared" si="4"/>
        <v>0.2797</v>
      </c>
      <c r="J14" s="54">
        <f t="shared" ca="1" si="5"/>
        <v>1796082.6427268439</v>
      </c>
      <c r="K14" s="55">
        <f t="shared" ca="1" si="3"/>
        <v>29049957.832726844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86</v>
      </c>
      <c r="H15" s="59">
        <f>'[1]Facturas desde 2025'!P9</f>
        <v>1015907.94</v>
      </c>
      <c r="I15" s="53">
        <f t="shared" si="4"/>
        <v>0.2797</v>
      </c>
      <c r="J15" s="60">
        <f t="shared" ca="1" si="5"/>
        <v>66950.281562597258</v>
      </c>
      <c r="K15" s="61">
        <f t="shared" ca="1" si="3"/>
        <v>1082858.2215625972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86</v>
      </c>
      <c r="H16" s="52">
        <f>'[1]Facturas desde 2025'!P10</f>
        <v>28627721.359999999</v>
      </c>
      <c r="I16" s="53">
        <f t="shared" si="4"/>
        <v>0.2797</v>
      </c>
      <c r="J16" s="54">
        <f t="shared" ca="1" si="5"/>
        <v>1886621.7401033207</v>
      </c>
      <c r="K16" s="55">
        <f t="shared" ca="1" si="3"/>
        <v>30514343.100103319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86</v>
      </c>
      <c r="H17" s="59">
        <f>'[1]Facturas desde 2025'!P11</f>
        <v>238400.46</v>
      </c>
      <c r="I17" s="53">
        <f t="shared" si="4"/>
        <v>0.2797</v>
      </c>
      <c r="J17" s="60">
        <f t="shared" ca="1" si="5"/>
        <v>15711.047520361644</v>
      </c>
      <c r="K17" s="61">
        <f t="shared" ca="1" si="3"/>
        <v>254111.50752036163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86</v>
      </c>
      <c r="H18" s="52">
        <f>'[1]Facturas desde 2025'!P12</f>
        <v>6758414.6399999997</v>
      </c>
      <c r="I18" s="53">
        <f t="shared" si="4"/>
        <v>0.2797</v>
      </c>
      <c r="J18" s="54">
        <f t="shared" ca="1" si="5"/>
        <v>445392.48611914518</v>
      </c>
      <c r="K18" s="55">
        <f t="shared" ca="1" si="3"/>
        <v>7203807.1261191452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70</v>
      </c>
      <c r="H19" s="59">
        <f>'[1]Facturas desde 2025'!P14</f>
        <v>444448.23</v>
      </c>
      <c r="I19" s="53">
        <f t="shared" si="4"/>
        <v>0.2797</v>
      </c>
      <c r="J19" s="60">
        <f t="shared" ca="1" si="5"/>
        <v>23840.690123753422</v>
      </c>
      <c r="K19" s="61">
        <f t="shared" ca="1" si="3"/>
        <v>468288.92012375343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70</v>
      </c>
      <c r="H20" s="52">
        <f>'[1]Facturas desde 2025'!P16</f>
        <v>12832109.380000001</v>
      </c>
      <c r="I20" s="53">
        <f t="shared" si="4"/>
        <v>0.2797</v>
      </c>
      <c r="J20" s="54">
        <f t="shared" ca="1" si="5"/>
        <v>688328.40972882183</v>
      </c>
      <c r="K20" s="55">
        <f t="shared" ca="1" si="3"/>
        <v>13520437.789728822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65</v>
      </c>
      <c r="H21" s="59">
        <f>'[1]Facturas desde 2025'!P17</f>
        <v>184056.25</v>
      </c>
      <c r="I21" s="53">
        <f t="shared" si="4"/>
        <v>0.2797</v>
      </c>
      <c r="J21" s="60">
        <f t="shared" ca="1" si="5"/>
        <v>9167.7661729452047</v>
      </c>
      <c r="K21" s="61">
        <f t="shared" ca="1" si="3"/>
        <v>193224.01617294521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65</v>
      </c>
      <c r="H22" s="52">
        <f>'[1]Facturas desde 2025'!P18</f>
        <v>5425916.7800000003</v>
      </c>
      <c r="I22" s="53">
        <f t="shared" si="4"/>
        <v>0.2797</v>
      </c>
      <c r="J22" s="54">
        <f t="shared" ca="1" si="5"/>
        <v>270262.68498298631</v>
      </c>
      <c r="K22" s="55">
        <f t="shared" ca="1" si="3"/>
        <v>5696179.4649829865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65</v>
      </c>
      <c r="H23" s="59">
        <f>'[1]Facturas desde 2025'!P19</f>
        <v>0</v>
      </c>
      <c r="I23" s="53">
        <f t="shared" si="4"/>
        <v>0.2797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62</v>
      </c>
      <c r="H24" s="52">
        <f>'[1]Facturas desde 2025'!P20</f>
        <v>0</v>
      </c>
      <c r="I24" s="53">
        <f t="shared" si="4"/>
        <v>0.2797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23</v>
      </c>
      <c r="H25" s="59">
        <f>'[1]Facturas desde 2025'!P21</f>
        <v>203181.59</v>
      </c>
      <c r="I25" s="53">
        <f t="shared" si="4"/>
        <v>0.2797</v>
      </c>
      <c r="J25" s="60">
        <f t="shared" ca="1" si="5"/>
        <v>3581.0616072027397</v>
      </c>
      <c r="K25" s="61">
        <f t="shared" ca="1" si="3"/>
        <v>206762.65160720274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23</v>
      </c>
      <c r="H26" s="52">
        <f>'[1]Facturas desde 2025'!P22</f>
        <v>0</v>
      </c>
      <c r="I26" s="53">
        <f t="shared" si="4"/>
        <v>0.2797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23</v>
      </c>
      <c r="H27" s="59">
        <f>'[1]Facturas desde 2025'!P23</f>
        <v>6266255.6299999999</v>
      </c>
      <c r="I27" s="53">
        <f t="shared" si="4"/>
        <v>0.2797</v>
      </c>
      <c r="J27" s="60">
        <f t="shared" ca="1" si="5"/>
        <v>110442.32628315892</v>
      </c>
      <c r="K27" s="61">
        <f t="shared" ca="1" si="3"/>
        <v>6376697.9562831586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0.2797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0.2797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0.2797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0.2797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340</v>
      </c>
      <c r="B32" s="77"/>
      <c r="C32" s="77"/>
      <c r="D32" s="77"/>
      <c r="E32" s="77"/>
      <c r="F32" s="77"/>
      <c r="G32" s="78">
        <f ca="1">IF(COUNTA(F10:F31)&gt;0,AVERAGE(G10:G31),AVERAGE(G10:G31))</f>
        <v>56.363636363636367</v>
      </c>
      <c r="H32" s="79">
        <f>SUBTOTAL(109,H10:H31)</f>
        <v>311070314.69999999</v>
      </c>
      <c r="I32" s="77"/>
      <c r="J32" s="79">
        <f ca="1">SUBTOTAL(109,J10:J31)</f>
        <v>9916039.4832240213</v>
      </c>
      <c r="K32" s="79">
        <f ca="1">SUBTOTAL(109,K10:K31)</f>
        <v>320986354.18322396</v>
      </c>
    </row>
    <row r="34" spans="1:2" x14ac:dyDescent="0.35">
      <c r="A34" s="80" t="s">
        <v>341</v>
      </c>
    </row>
    <row r="35" spans="1:2" ht="15.5" x14ac:dyDescent="0.35">
      <c r="A35" s="41" t="s">
        <v>342</v>
      </c>
      <c r="B35" s="81">
        <f>H32</f>
        <v>311070314.69999999</v>
      </c>
    </row>
    <row r="36" spans="1:2" ht="15.5" x14ac:dyDescent="0.35">
      <c r="A36" s="41" t="s">
        <v>343</v>
      </c>
      <c r="B36" s="81">
        <f ca="1">J32</f>
        <v>9916039.4832240213</v>
      </c>
    </row>
    <row r="37" spans="1:2" ht="15.5" x14ac:dyDescent="0.35">
      <c r="A37" s="82" t="s">
        <v>344</v>
      </c>
      <c r="B37" s="83">
        <f ca="1">B35+B36</f>
        <v>320986354.18322402</v>
      </c>
    </row>
    <row r="38" spans="1:2" x14ac:dyDescent="0.35">
      <c r="A38" s="45" t="s">
        <v>345</v>
      </c>
      <c r="B38" s="84">
        <f ca="1">COUNTIF(G10:G31,"&gt;"&amp;0)</f>
        <v>18</v>
      </c>
    </row>
    <row r="39" spans="1:2" x14ac:dyDescent="0.35">
      <c r="A39" s="45" t="s">
        <v>346</v>
      </c>
      <c r="B39" s="85">
        <f ca="1">G32</f>
        <v>56.363636363636367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347</v>
      </c>
      <c r="D1" s="105" t="s">
        <v>348</v>
      </c>
      <c r="E1" s="105" t="s">
        <v>349</v>
      </c>
      <c r="F1" s="105" t="s">
        <v>350</v>
      </c>
      <c r="G1" s="106" t="s">
        <v>351</v>
      </c>
      <c r="H1" s="106" t="s">
        <v>352</v>
      </c>
      <c r="I1" s="106" t="s">
        <v>353</v>
      </c>
      <c r="J1" s="106" t="s">
        <v>354</v>
      </c>
      <c r="K1" s="107" t="s">
        <v>355</v>
      </c>
    </row>
    <row r="2" spans="1:11" x14ac:dyDescent="0.35">
      <c r="A2" s="108" t="s">
        <v>79</v>
      </c>
      <c r="B2" s="109" t="s">
        <v>81</v>
      </c>
      <c r="C2" s="110" t="s">
        <v>356</v>
      </c>
      <c r="D2" s="108">
        <v>1</v>
      </c>
      <c r="E2" s="108" t="s">
        <v>357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79</v>
      </c>
      <c r="B3" s="109" t="s">
        <v>81</v>
      </c>
      <c r="C3" s="110" t="s">
        <v>358</v>
      </c>
      <c r="D3" s="108">
        <v>2</v>
      </c>
      <c r="E3" s="108" t="s">
        <v>359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79</v>
      </c>
      <c r="B4" s="109" t="s">
        <v>81</v>
      </c>
      <c r="C4" s="110" t="s">
        <v>360</v>
      </c>
      <c r="D4" s="108">
        <v>3</v>
      </c>
      <c r="E4" s="108" t="s">
        <v>361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79</v>
      </c>
      <c r="B5" s="109" t="s">
        <v>81</v>
      </c>
      <c r="C5" s="110" t="s">
        <v>362</v>
      </c>
      <c r="D5" s="108">
        <v>4</v>
      </c>
      <c r="E5" s="108" t="s">
        <v>363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37</v>
      </c>
      <c r="B6" s="109" t="s">
        <v>39</v>
      </c>
      <c r="C6" s="110" t="s">
        <v>364</v>
      </c>
      <c r="D6" s="108">
        <v>1</v>
      </c>
      <c r="E6" s="108" t="s">
        <v>365</v>
      </c>
      <c r="F6" s="111">
        <v>44308</v>
      </c>
      <c r="G6" s="112">
        <v>175969573.995</v>
      </c>
      <c r="H6" s="112"/>
      <c r="I6" s="113">
        <f>SUMIFS(Master!I:I,Master!A:A,A6)</f>
        <v>57543167.77699998</v>
      </c>
      <c r="J6" s="113">
        <f>G6-I6</f>
        <v>118426406.21800002</v>
      </c>
      <c r="K6" s="114">
        <f t="shared" si="0"/>
        <v>0.32700634814649837</v>
      </c>
    </row>
    <row r="7" spans="1:11" x14ac:dyDescent="0.35">
      <c r="A7" s="108" t="s">
        <v>305</v>
      </c>
      <c r="B7" s="109" t="s">
        <v>306</v>
      </c>
      <c r="C7" s="110" t="s">
        <v>364</v>
      </c>
      <c r="D7" s="108">
        <v>1</v>
      </c>
      <c r="E7" s="108" t="s">
        <v>366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 x14ac:dyDescent="0.35">
      <c r="A8" s="108" t="s">
        <v>130</v>
      </c>
      <c r="B8" s="109" t="s">
        <v>132</v>
      </c>
      <c r="C8" s="110" t="s">
        <v>364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968D-F146-4A4A-BB9D-AE16639B2D38}">
  <dimension ref="A2:D9"/>
  <sheetViews>
    <sheetView workbookViewId="0">
      <selection activeCell="A2" sqref="A2:D9"/>
    </sheetView>
  </sheetViews>
  <sheetFormatPr baseColWidth="10" defaultColWidth="8.7265625" defaultRowHeight="14.5" x14ac:dyDescent="0.35"/>
  <cols>
    <col min="2" max="2" width="22.26953125" bestFit="1" customWidth="1"/>
    <col min="3" max="3" width="19.7265625" bestFit="1" customWidth="1"/>
    <col min="4" max="4" width="11.453125" bestFit="1" customWidth="1"/>
  </cols>
  <sheetData>
    <row r="2" spans="1:4" x14ac:dyDescent="0.35">
      <c r="A2" t="s">
        <v>0</v>
      </c>
      <c r="B2" t="s">
        <v>5</v>
      </c>
      <c r="C2" t="s">
        <v>368</v>
      </c>
      <c r="D2" t="s">
        <v>369</v>
      </c>
    </row>
    <row r="3" spans="1:4" x14ac:dyDescent="0.35">
      <c r="A3" s="10" t="s">
        <v>37</v>
      </c>
      <c r="B3" t="s">
        <v>370</v>
      </c>
      <c r="C3" s="118">
        <v>1759695739.95</v>
      </c>
      <c r="D3" s="119">
        <v>44256</v>
      </c>
    </row>
    <row r="4" spans="1:4" x14ac:dyDescent="0.35">
      <c r="A4" s="10" t="s">
        <v>37</v>
      </c>
      <c r="B4" t="s">
        <v>371</v>
      </c>
      <c r="C4" s="118">
        <v>351934615.48000002</v>
      </c>
      <c r="D4" s="119">
        <v>46042</v>
      </c>
    </row>
    <row r="5" spans="1:4" x14ac:dyDescent="0.35">
      <c r="A5" s="10" t="s">
        <v>66</v>
      </c>
      <c r="B5" t="s">
        <v>372</v>
      </c>
      <c r="C5" s="118">
        <v>2337056186.5799999</v>
      </c>
      <c r="D5" s="119">
        <v>45870</v>
      </c>
    </row>
    <row r="6" spans="1:4" x14ac:dyDescent="0.35">
      <c r="A6" s="10" t="s">
        <v>85</v>
      </c>
      <c r="B6" t="s">
        <v>372</v>
      </c>
      <c r="C6" s="118">
        <v>5000000000</v>
      </c>
      <c r="D6" s="119">
        <v>46113</v>
      </c>
    </row>
    <row r="7" spans="1:4" x14ac:dyDescent="0.35">
      <c r="A7" s="10" t="s">
        <v>130</v>
      </c>
      <c r="B7" t="s">
        <v>373</v>
      </c>
      <c r="C7" s="118">
        <v>30896493733.389999</v>
      </c>
      <c r="D7" s="119">
        <v>45870</v>
      </c>
    </row>
    <row r="8" spans="1:4" x14ac:dyDescent="0.35">
      <c r="A8" s="10" t="s">
        <v>305</v>
      </c>
      <c r="B8" t="s">
        <v>373</v>
      </c>
      <c r="C8" s="118">
        <v>33906772915.32</v>
      </c>
      <c r="D8" s="119">
        <v>45870</v>
      </c>
    </row>
    <row r="9" spans="1:4" x14ac:dyDescent="0.35">
      <c r="A9" s="10" t="s">
        <v>115</v>
      </c>
      <c r="B9" t="s">
        <v>372</v>
      </c>
      <c r="C9" s="118">
        <v>1500000000</v>
      </c>
      <c r="D9" s="119">
        <v>45839</v>
      </c>
    </row>
  </sheetData>
  <conditionalFormatting sqref="A3:A4 A9">
    <cfRule type="expression" dxfId="20" priority="8" stopIfTrue="1">
      <formula>$Q3="ANULADA"</formula>
    </cfRule>
    <cfRule type="expression" dxfId="19" priority="9" stopIfTrue="1">
      <formula>LEFT($M3,2)="NC"</formula>
    </cfRule>
    <cfRule type="expression" dxfId="18" priority="10" stopIfTrue="1">
      <formula>AND($Q3&lt;&gt;"ANULADA",$AI3&gt;0,$AJ3&lt;-10)</formula>
    </cfRule>
    <cfRule type="expression" dxfId="17" priority="11" stopIfTrue="1">
      <formula>AND($Q3&lt;&gt;"ANULADA",$AI3&gt;0,ABS($AJ3)&lt;=10)</formula>
    </cfRule>
    <cfRule type="expression" dxfId="16" priority="12" stopIfTrue="1">
      <formula>AND($Q3&lt;&gt;"ANULADA",$AI3&gt;0,$AJ3&gt;10)</formula>
    </cfRule>
    <cfRule type="expression" dxfId="15" priority="13" stopIfTrue="1">
      <formula>AND($Q3&lt;&gt;"ANULADA",$AA3&gt;0,OR($AI3=0,$AI3=""))</formula>
    </cfRule>
    <cfRule type="expression" dxfId="14" priority="14" stopIfTrue="1">
      <formula>$A3&lt;&gt;""</formula>
    </cfRule>
  </conditionalFormatting>
  <conditionalFormatting sqref="A5:A6">
    <cfRule type="expression" dxfId="13" priority="1" stopIfTrue="1">
      <formula>$Q2="ANULADA"</formula>
    </cfRule>
    <cfRule type="expression" dxfId="12" priority="2" stopIfTrue="1">
      <formula>LEFT($M2,2)="NC"</formula>
    </cfRule>
    <cfRule type="expression" dxfId="11" priority="3" stopIfTrue="1">
      <formula>AND($Q2&lt;&gt;"ANULADA",$AI2&gt;0,$AJ2&lt;-10)</formula>
    </cfRule>
    <cfRule type="expression" dxfId="10" priority="4" stopIfTrue="1">
      <formula>AND($Q2&lt;&gt;"ANULADA",$AI2&gt;0,ABS($AJ2)&lt;=10)</formula>
    </cfRule>
    <cfRule type="expression" dxfId="9" priority="5" stopIfTrue="1">
      <formula>AND($Q2&lt;&gt;"ANULADA",$AI2&gt;0,$AJ2&gt;10)</formula>
    </cfRule>
    <cfRule type="expression" dxfId="8" priority="6" stopIfTrue="1">
      <formula>AND($Q2&lt;&gt;"ANULADA",$AA2&gt;0,OR($AI2=0,$AI2=""))</formula>
    </cfRule>
    <cfRule type="expression" dxfId="7" priority="7" stopIfTrue="1">
      <formula>$A5&lt;&gt;""</formula>
    </cfRule>
  </conditionalFormatting>
  <conditionalFormatting sqref="A7:A8">
    <cfRule type="expression" dxfId="6" priority="29" stopIfTrue="1">
      <formula>$Q5="ANULADA"</formula>
    </cfRule>
    <cfRule type="expression" dxfId="5" priority="30" stopIfTrue="1">
      <formula>LEFT($M5,2)="NC"</formula>
    </cfRule>
    <cfRule type="expression" dxfId="4" priority="31" stopIfTrue="1">
      <formula>AND($Q5&lt;&gt;"ANULADA",$AI5&gt;0,$AJ5&lt;-10)</formula>
    </cfRule>
    <cfRule type="expression" dxfId="3" priority="32" stopIfTrue="1">
      <formula>AND($Q5&lt;&gt;"ANULADA",$AI5&gt;0,ABS($AJ5)&lt;=10)</formula>
    </cfRule>
    <cfRule type="expression" dxfId="2" priority="33" stopIfTrue="1">
      <formula>AND($Q5&lt;&gt;"ANULADA",$AI5&gt;0,$AJ5&gt;10)</formula>
    </cfRule>
    <cfRule type="expression" dxfId="1" priority="34" stopIfTrue="1">
      <formula>AND($Q5&lt;&gt;"ANULADA",$AA5&gt;0,OR($AI5=0,$AI5=""))</formula>
    </cfRule>
    <cfRule type="expression" dxfId="0" priority="35" stopIfTrue="1">
      <formula>$A7&lt;&gt;""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2026-06-08T19:24:04Z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