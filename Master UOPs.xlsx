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46" documentId="8_{06376EE1-B0DD-45EC-BF0E-FB21B357E1EF}" xr6:coauthVersionLast="47" xr6:coauthVersionMax="47" xr10:uidLastSave="{94454E86-7D05-4F12-B026-ECE7D0806064}"/>
  <bookViews>
    <workbookView xWindow="-28920" yWindow="-120" windowWidth="29040" windowHeight="15720" xr2:uid="{0B067436-489C-4F7D-A3D3-1998983265A1}"/>
  </bookViews>
  <sheets>
    <sheet name="Master" sheetId="5" r:id="rId1"/>
    <sheet name="530 con Mora - Calc de int" sheetId="4" r:id="rId2"/>
    <sheet name="Anticipos" sheetId="7" r:id="rId3"/>
  </sheets>
  <externalReferences>
    <externalReference r:id="rId4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544" i="5" l="1"/>
  <c r="AA544" i="5"/>
  <c r="AJ544" i="5" s="1"/>
  <c r="AK544" i="5" s="1"/>
  <c r="X544" i="5"/>
  <c r="W544" i="5"/>
  <c r="V544" i="5"/>
  <c r="U544" i="5"/>
  <c r="I544" i="5"/>
  <c r="AI543" i="5"/>
  <c r="AJ543" i="5" s="1"/>
  <c r="AK543" i="5" s="1"/>
  <c r="AA543" i="5"/>
  <c r="X543" i="5"/>
  <c r="W543" i="5"/>
  <c r="V543" i="5"/>
  <c r="U543" i="5"/>
  <c r="I543" i="5"/>
  <c r="S189" i="5"/>
  <c r="AI187" i="5" l="1"/>
  <c r="AJ187" i="5" s="1"/>
  <c r="AI124" i="5"/>
  <c r="AJ124" i="5" s="1"/>
  <c r="I124" i="5" l="1"/>
  <c r="I8" i="7"/>
  <c r="H8" i="7" s="1"/>
  <c r="K8" i="7" l="1"/>
  <c r="J8" i="7"/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43" i="5"/>
  <c r="S188" i="5"/>
  <c r="S44" i="5"/>
  <c r="S45" i="5"/>
  <c r="S46" i="5"/>
  <c r="S47" i="5"/>
  <c r="S48" i="5"/>
  <c r="S4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10" i="5"/>
  <c r="AK109" i="5"/>
  <c r="AK95" i="5"/>
  <c r="AK94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<sst xmlns="http://schemas.openxmlformats.org/spreadsheetml/2006/main" count="2120" uniqueCount="368">
  <si>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</si>
  <si>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</si>
  <si>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</si>
  <si>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</si>
  <si>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</si>
  <si>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</si>
  <si>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</si>
  <si>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</si>
  <si>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</si>
  <si>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</si>
  <si>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</si>
  <si>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</si>
  <si>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</si>
  <si>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</si>
  <si>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</si>
  <si>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</si>
  <si>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</si>
  <si>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</si>
  <si>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</si>
  <si>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</si>
  <si>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</si>
  <si>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</si>
  <si>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</si>
  <si>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</si>
  <si>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</si>
  <si>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</si>
  <si>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</si>
  <si>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</si>
  <si>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</si>
  <si>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</si>
  <si>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</si>
  <si>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</si>
  <si>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</si>
  <si>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</si>
  <si>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</si>
  <si>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</si>
  <si>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</si>
  <si>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</si>
  <si>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</si>
  <si>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</si>
  <si>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</si>
  <si>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</si>
  <si>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</si>
  <si>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</si>
  <si>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</si>
  <si>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</si>
  <si>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</si>
  <si>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</si>
  <si>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</si>
  <si>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</si>
  <si>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</si>
  <si>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</si>
  <si>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</si>
  <si>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</si>
  <si>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</si>
  <si>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</si>
  <si>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</si>
  <si>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</si>
  <si>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</si>
  <si>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</si>
  <si>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</si>
  <si>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</si>
  <si>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</si>
  <si>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</si>
  <si>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</si>
  <si>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</si>
  <si>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</si>
  <si>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</si>
  <si>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</si>
  <si>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</si>
  <si>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</si>
  <si>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</si>
  <si>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</si>
  <si>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</si>
  <si>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</si>
  <si>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</si>
  <si>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</si>
  <si>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</si>
  <si>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</si>
  <si>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</si>
  <si>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</si>
  <si>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</si>
  <si>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</si>
  <si>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</si>
  <si>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</si>
  <si>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</si>
  <si>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</si>
  <si>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</si>
  <si>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</si>
  <si>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</si>
  <si>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</si>
  <si>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</si>
  <si>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</si>
  <si>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</si>
  <si>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</si>
  <si>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</si>
  <si>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</si>
  <si>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</si>
  <si>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</si>
  <si>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</si>
  <si>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</si>
  <si>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</si>
  <si>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</si>
  <si>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</si>
  <si>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</si>
  <si>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</si>
  <si>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</si>
  <si>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</si>
  <si>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</si>
  <si>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</si>
  <si>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</si>
  <si>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</si>
  <si>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</si>
  <si>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</si>
  <si>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</si>
  <si>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</si>
  <si>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</si>
  <si>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</si>
  <si>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</si>
  <si>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</si>
  <si>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</si>
  <si>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</si>
  <si>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</si>
  <si>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</si>
  <si>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</si>
  <si>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</si>
  <si>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</si>
  <si>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</si>
  <si>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</si>
  <si>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</si>
  <si>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</si>
  <si>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</si>
  <si>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</si>
  <si>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</si>
  <si>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</si>
  <si>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</si>
  <si>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</si>
  <si>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</si>
  <si>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</si>
  <si>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</si>
  <si>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</si>
  <si>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</si>
  <si>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</si>
  <si>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</si>
  <si>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</si>
  <si>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</si>
  <si>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</si>
  <si>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</si>
  <si>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</si>
  <si>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</si>
  <si>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</si>
  <si>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</si>
  <si>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</si>
  <si>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</si>
  <si>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</si>
  <si>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</si>
  <si>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</si>
  <si>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</si>
  <si>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</si>
  <si>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</si>
  <si>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</si>
  <si>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</si>
  <si>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</si>
  <si>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</si>
  <si>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</si>
  <si>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</si>
  <si>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</si>
  <si>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</si>
  <si>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</si>
  <si>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</si>
  <si>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</si>
  <si>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</si>
  <si>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</si>
  <si>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</si>
  <si>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</si>
  <si>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</si>
  <si>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</si>
  <si>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</si>
  <si>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</si>
  <si>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</si>
  <si>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</si>
  <si>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</si>
  <si>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</si>
  <si>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</si>
  <si>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</si>
  <si>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</si>
  <si>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</si>
  <si>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</si>
  <si>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</si>
  <si>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</si>
  <si>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</si>
  <si>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</si>
  <si>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</si>
  <si>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</si>
  <si>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</si>
  <si>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</si>
  <si>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</si>
  <si>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</si>
  <si>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</si>
  <si>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</si>
  <si>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</si>
  <si>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</si>
  <si>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</si>
  <si>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</si>
  <si>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</si>
  <si>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</si>
  <si>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</si>
  <si>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</si>
  <si>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</si>
  <si>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</si>
  <si>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</si>
  <si>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</si>
  <si>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</si>
  <si>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</si>
  <si>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</si>
  <si>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</si>
  <si>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</si>
  <si>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</si>
  <si>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</si>
  <si>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</si>
  <si>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</si>
  <si>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</si>
  <si>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</si>
  <si>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</si>
  <si>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</si>
  <si>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</si>
  <si>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</si>
  <si>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</si>
  <si>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</si>
  <si>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</si>
  <si>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</si>
  <si>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</si>
  <si>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</si>
  <si>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</si>
  <si>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</si>
  <si>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</si>
  <si>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</si>
  <si>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</si>
  <si>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</si>
  <si>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</si>
  <si>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</si>
  <si>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</si>
  <si>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</si>
  <si>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</si>
  <si>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</si>
  <si>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</si>
  <si>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</si>
  <si>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</si>
  <si>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</si>
  <si>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</si>
  <si>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</si>
  <si>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</si>
  <si>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</si>
  <si>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</si>
  <si>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</si>
  <si>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</si>
  <si>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</si>
  <si>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</si>
  <si>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</si>
  <si>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</si>
  <si>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</si>
  <si>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</si>
  <si>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</si>
  <si>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</si>
  <si>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</si>
  <si>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</si>
  <si>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</si>
  <si>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</si>
  <si>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</si>
  <si>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</si>
  <si>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</si>
  <si>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</si>
  <si>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</si>
  <si>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</si>
  <si>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</si>
  <si>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</si>
  <si>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</si>
  <si>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</si>
  <si>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</si>
  <si>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</si>
  <si>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</si>
  <si>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</si>
  <si>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</si>
  <si>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</si>
  <si>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</si>
  <si>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</si>
  <si>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</si>
  <si>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</si>
  <si>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</si>
  <si>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</si>
  <si>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</si>
  <si>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</si>
  <si>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</si>
  <si>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</si>
  <si>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</si>
  <si>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</si>
  <si>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</si>
  <si>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</si>
  <si>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</si>
  <si>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</si>
  <si>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</si>
  <si>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</si>
  <si>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</si>
  <si>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</si>
  <si>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</si>
  <si>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</si>
  <si>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</si>
  <si>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</si>
  <si>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</si>
  <si>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</si>
  <si>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</si>
  <si>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</si>
  <si>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</si>
  <si>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</si>
  <si>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</si>
  <si>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</si>
  <si>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</si>
  <si>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</si>
  <si>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</si>
  <si>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</si>
  <si>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</si>
  <si>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</si>
  <si>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</si>
  <si>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</si>
  <si>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</si>
  <si>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</si>
  <si>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</si>
  <si>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</si>
  <si>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</si>
  <si>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</si>
  <si>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</si>
  <si>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</si>
  <si>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</si>
  <si>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</si>
  <si>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</si>
  <si>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</si>
  <si>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</si>
  <si>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</si>
  <si>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</si>
  <si>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</si>
  <si>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</si>
  <si>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</si>
  <si>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</si>
  <si>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</si>
  <si>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</si>
  <si>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</si>
  <si>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</si>
  <si>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</si>
  <si>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</si>
  <si>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</si>
  <si>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</si>
  <si>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</si>
  <si>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</si>
  <si>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</si>
  <si>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</si>
  <si>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</si>
  <si>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</si>
  <si>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</si>
  <si>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</si>
  <si>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</si>
  <si>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</si>
  <si>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</si>
  <si>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</si>
  <si>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</si>
  <si>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</si>
  <si>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Importe a facturar</t>
  </si>
  <si>
    <t>Edificios 7 y 8 - Puerto Nizuc</t>
  </si>
  <si>
    <t>0018-00002546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</si>
</sst>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18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14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4"/>
  <sheetViews>
    <sheetView tabSelected="1" zoomScale="70" zoomScaleNormal="70" workbookViewId="0">
      <pane ySplit="1" topLeftCell="A59" activePane="bottomLeft" state="frozen"/>
      <selection pane="bottomLeft" activeCell="H545" sqref="H545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2.816406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36328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365</v>
      </c>
      <c r="L1" s="87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88" t="s">
        <v>26</v>
      </c>
      <c r="AC1" s="4" t="s">
        <v>27</v>
      </c>
      <c r="AD1" s="5" t="s">
        <v>28</v>
      </c>
      <c r="AE1" s="4" t="s">
        <v>29</v>
      </c>
      <c r="AF1" s="6" t="s">
        <v>30</v>
      </c>
      <c r="AG1" s="4" t="s">
        <v>31</v>
      </c>
      <c r="AH1" s="4" t="s">
        <v>32</v>
      </c>
      <c r="AI1" s="4" t="s">
        <v>33</v>
      </c>
      <c r="AJ1" s="4" t="s">
        <v>34</v>
      </c>
      <c r="AK1" s="4" t="s">
        <v>35</v>
      </c>
    </row>
    <row r="2" spans="1:38" ht="15" hidden="1" customHeight="1" x14ac:dyDescent="0.35">
      <c r="A2" s="10" t="s">
        <v>36</v>
      </c>
      <c r="B2" s="10" t="s">
        <v>37</v>
      </c>
      <c r="C2" s="10" t="s">
        <v>38</v>
      </c>
      <c r="D2" s="89">
        <v>0</v>
      </c>
      <c r="E2" s="89">
        <v>25</v>
      </c>
      <c r="F2" s="89" t="s">
        <v>39</v>
      </c>
      <c r="G2" s="89" t="s">
        <v>40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41</v>
      </c>
      <c r="M2" s="10" t="s">
        <v>42</v>
      </c>
      <c r="N2" s="8">
        <v>1997</v>
      </c>
      <c r="O2" s="9">
        <v>46035</v>
      </c>
      <c r="P2" s="93" t="s">
        <v>43</v>
      </c>
      <c r="Q2" s="10" t="s">
        <v>44</v>
      </c>
      <c r="R2" s="10" t="s">
        <v>45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 x14ac:dyDescent="0.35">
      <c r="A3" s="10" t="s">
        <v>36</v>
      </c>
      <c r="B3" s="10" t="s">
        <v>37</v>
      </c>
      <c r="C3" s="10" t="s">
        <v>38</v>
      </c>
      <c r="D3" s="89">
        <v>0</v>
      </c>
      <c r="E3" s="89">
        <v>25</v>
      </c>
      <c r="F3" s="89" t="s">
        <v>46</v>
      </c>
      <c r="G3" s="89" t="s">
        <v>47</v>
      </c>
      <c r="H3" s="92">
        <v>45078</v>
      </c>
      <c r="I3" s="103"/>
      <c r="J3" s="94">
        <v>50402510.509999998</v>
      </c>
      <c r="K3" s="94">
        <v>50402510.509999998</v>
      </c>
      <c r="L3" s="89" t="s">
        <v>41</v>
      </c>
      <c r="M3" s="10" t="s">
        <v>42</v>
      </c>
      <c r="N3" s="11">
        <v>1998</v>
      </c>
      <c r="O3" s="12">
        <v>46035</v>
      </c>
      <c r="P3" s="10" t="s">
        <v>48</v>
      </c>
      <c r="Q3" s="10" t="s">
        <v>44</v>
      </c>
      <c r="R3" s="10" t="s">
        <v>45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 x14ac:dyDescent="0.35">
      <c r="A4" s="10" t="s">
        <v>36</v>
      </c>
      <c r="B4" s="10" t="s">
        <v>37</v>
      </c>
      <c r="C4" s="10" t="s">
        <v>38</v>
      </c>
      <c r="D4" s="89">
        <v>0</v>
      </c>
      <c r="E4" s="89">
        <v>26</v>
      </c>
      <c r="F4" s="89" t="s">
        <v>39</v>
      </c>
      <c r="G4" s="89" t="s">
        <v>40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41</v>
      </c>
      <c r="M4" s="10" t="s">
        <v>42</v>
      </c>
      <c r="N4" s="11">
        <v>1999</v>
      </c>
      <c r="O4" s="12">
        <v>46035</v>
      </c>
      <c r="P4" s="10" t="s">
        <v>49</v>
      </c>
      <c r="Q4" s="10" t="s">
        <v>44</v>
      </c>
      <c r="R4" s="10" t="s">
        <v>45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 x14ac:dyDescent="0.35">
      <c r="A5" s="10" t="s">
        <v>36</v>
      </c>
      <c r="B5" s="10" t="s">
        <v>37</v>
      </c>
      <c r="C5" s="10" t="s">
        <v>38</v>
      </c>
      <c r="D5" s="89">
        <v>0</v>
      </c>
      <c r="E5" s="89">
        <v>26</v>
      </c>
      <c r="F5" s="89" t="s">
        <v>46</v>
      </c>
      <c r="G5" s="89" t="s">
        <v>47</v>
      </c>
      <c r="H5" s="92">
        <v>45108</v>
      </c>
      <c r="I5" s="103"/>
      <c r="J5" s="94">
        <v>17699825.399999999</v>
      </c>
      <c r="K5" s="94">
        <v>17699825.399999999</v>
      </c>
      <c r="L5" s="89" t="s">
        <v>41</v>
      </c>
      <c r="M5" s="10" t="s">
        <v>42</v>
      </c>
      <c r="N5" s="11">
        <v>2000</v>
      </c>
      <c r="O5" s="12">
        <v>46035</v>
      </c>
      <c r="P5" s="10" t="s">
        <v>50</v>
      </c>
      <c r="Q5" s="10" t="s">
        <v>44</v>
      </c>
      <c r="R5" s="10" t="s">
        <v>45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 x14ac:dyDescent="0.35">
      <c r="A6" s="10" t="s">
        <v>36</v>
      </c>
      <c r="B6" s="10" t="s">
        <v>37</v>
      </c>
      <c r="C6" s="10" t="s">
        <v>38</v>
      </c>
      <c r="D6" s="89">
        <v>0</v>
      </c>
      <c r="E6" s="89">
        <v>27</v>
      </c>
      <c r="F6" s="89" t="s">
        <v>39</v>
      </c>
      <c r="G6" s="89" t="s">
        <v>40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41</v>
      </c>
      <c r="M6" s="10" t="s">
        <v>42</v>
      </c>
      <c r="N6" s="11">
        <v>2001</v>
      </c>
      <c r="O6" s="12">
        <v>46035</v>
      </c>
      <c r="P6" s="10" t="s">
        <v>51</v>
      </c>
      <c r="Q6" s="10" t="s">
        <v>44</v>
      </c>
      <c r="R6" s="10" t="s">
        <v>45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 x14ac:dyDescent="0.35">
      <c r="A7" s="10" t="s">
        <v>36</v>
      </c>
      <c r="B7" s="10" t="s">
        <v>37</v>
      </c>
      <c r="C7" s="10" t="s">
        <v>38</v>
      </c>
      <c r="D7" s="89">
        <v>0</v>
      </c>
      <c r="E7" s="89">
        <v>27</v>
      </c>
      <c r="F7" s="89" t="s">
        <v>46</v>
      </c>
      <c r="G7" s="89" t="s">
        <v>47</v>
      </c>
      <c r="H7" s="92">
        <v>45139</v>
      </c>
      <c r="I7" s="103"/>
      <c r="J7" s="94">
        <v>27253875.190000001</v>
      </c>
      <c r="K7" s="94">
        <v>27253875.190000001</v>
      </c>
      <c r="L7" s="89" t="s">
        <v>41</v>
      </c>
      <c r="M7" s="10" t="s">
        <v>42</v>
      </c>
      <c r="N7" s="11">
        <v>2002</v>
      </c>
      <c r="O7" s="12">
        <v>46035</v>
      </c>
      <c r="P7" s="10" t="s">
        <v>52</v>
      </c>
      <c r="Q7" s="10" t="s">
        <v>44</v>
      </c>
      <c r="R7" s="10" t="s">
        <v>45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 x14ac:dyDescent="0.35">
      <c r="A8" s="10" t="s">
        <v>36</v>
      </c>
      <c r="B8" s="10" t="s">
        <v>37</v>
      </c>
      <c r="C8" s="10" t="s">
        <v>38</v>
      </c>
      <c r="D8" s="89">
        <v>0</v>
      </c>
      <c r="E8" s="89">
        <v>28</v>
      </c>
      <c r="F8" s="89" t="s">
        <v>39</v>
      </c>
      <c r="G8" s="89" t="s">
        <v>40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41</v>
      </c>
      <c r="M8" s="10" t="s">
        <v>42</v>
      </c>
      <c r="N8" s="11">
        <v>2003</v>
      </c>
      <c r="O8" s="12">
        <v>46035</v>
      </c>
      <c r="P8" s="10" t="s">
        <v>53</v>
      </c>
      <c r="Q8" s="10" t="s">
        <v>44</v>
      </c>
      <c r="R8" s="10" t="s">
        <v>45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 x14ac:dyDescent="0.35">
      <c r="A9" s="10" t="s">
        <v>36</v>
      </c>
      <c r="B9" s="10" t="s">
        <v>37</v>
      </c>
      <c r="C9" s="10" t="s">
        <v>38</v>
      </c>
      <c r="D9" s="89">
        <v>0</v>
      </c>
      <c r="E9" s="89">
        <v>28</v>
      </c>
      <c r="F9" s="89" t="s">
        <v>46</v>
      </c>
      <c r="G9" s="89" t="s">
        <v>47</v>
      </c>
      <c r="H9" s="92">
        <v>45170</v>
      </c>
      <c r="I9" s="103"/>
      <c r="J9" s="94">
        <v>28627721.359999999</v>
      </c>
      <c r="K9" s="94">
        <v>28627721.359999999</v>
      </c>
      <c r="L9" s="89" t="s">
        <v>41</v>
      </c>
      <c r="M9" s="10" t="s">
        <v>42</v>
      </c>
      <c r="N9" s="11">
        <v>2004</v>
      </c>
      <c r="O9" s="12">
        <v>46035</v>
      </c>
      <c r="P9" s="10" t="s">
        <v>54</v>
      </c>
      <c r="Q9" s="10" t="s">
        <v>44</v>
      </c>
      <c r="R9" s="10" t="s">
        <v>45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 x14ac:dyDescent="0.35">
      <c r="A10" s="10" t="s">
        <v>36</v>
      </c>
      <c r="B10" s="10" t="s">
        <v>37</v>
      </c>
      <c r="C10" s="10" t="s">
        <v>38</v>
      </c>
      <c r="D10" s="89">
        <v>0</v>
      </c>
      <c r="E10" s="89">
        <v>29</v>
      </c>
      <c r="F10" s="89" t="s">
        <v>39</v>
      </c>
      <c r="G10" s="89" t="s">
        <v>40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41</v>
      </c>
      <c r="M10" s="10" t="s">
        <v>42</v>
      </c>
      <c r="N10" s="11">
        <v>2005</v>
      </c>
      <c r="O10" s="12">
        <v>46035</v>
      </c>
      <c r="P10" s="10" t="s">
        <v>55</v>
      </c>
      <c r="Q10" s="10" t="s">
        <v>44</v>
      </c>
      <c r="R10" s="10" t="s">
        <v>45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 x14ac:dyDescent="0.35">
      <c r="A11" s="10" t="s">
        <v>36</v>
      </c>
      <c r="B11" s="10" t="s">
        <v>37</v>
      </c>
      <c r="C11" s="10" t="s">
        <v>38</v>
      </c>
      <c r="D11" s="89">
        <v>0</v>
      </c>
      <c r="E11" s="89">
        <v>29</v>
      </c>
      <c r="F11" s="89" t="s">
        <v>46</v>
      </c>
      <c r="G11" s="89" t="s">
        <v>47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41</v>
      </c>
      <c r="M11" s="10" t="s">
        <v>42</v>
      </c>
      <c r="N11" s="11">
        <v>2006</v>
      </c>
      <c r="O11" s="12">
        <v>46035</v>
      </c>
      <c r="P11" s="10" t="s">
        <v>56</v>
      </c>
      <c r="Q11" s="10" t="s">
        <v>44</v>
      </c>
      <c r="R11" s="10" t="s">
        <v>45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 x14ac:dyDescent="0.35">
      <c r="A12" s="10" t="s">
        <v>36</v>
      </c>
      <c r="B12" s="10" t="s">
        <v>37</v>
      </c>
      <c r="C12" s="10" t="s">
        <v>38</v>
      </c>
      <c r="D12" s="89">
        <v>0</v>
      </c>
      <c r="E12" s="89">
        <v>30</v>
      </c>
      <c r="F12" s="89" t="s">
        <v>39</v>
      </c>
      <c r="G12" s="89" t="s">
        <v>40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41</v>
      </c>
      <c r="M12" s="10" t="s">
        <v>42</v>
      </c>
      <c r="N12" s="11">
        <v>2008</v>
      </c>
      <c r="O12" s="12">
        <v>46051</v>
      </c>
      <c r="P12" s="10" t="s">
        <v>57</v>
      </c>
      <c r="Q12" s="10" t="s">
        <v>44</v>
      </c>
      <c r="R12" s="10" t="s">
        <v>45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 x14ac:dyDescent="0.35">
      <c r="A13" s="10" t="s">
        <v>36</v>
      </c>
      <c r="B13" s="10" t="s">
        <v>37</v>
      </c>
      <c r="C13" s="10" t="s">
        <v>38</v>
      </c>
      <c r="D13" s="89">
        <v>0</v>
      </c>
      <c r="E13" s="89">
        <v>30</v>
      </c>
      <c r="F13" s="89" t="s">
        <v>46</v>
      </c>
      <c r="G13" s="89" t="s">
        <v>47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41</v>
      </c>
      <c r="M13" s="10" t="s">
        <v>42</v>
      </c>
      <c r="N13" s="11">
        <v>2010</v>
      </c>
      <c r="O13" s="12">
        <v>46051</v>
      </c>
      <c r="P13" s="10" t="s">
        <v>58</v>
      </c>
      <c r="Q13" s="10" t="s">
        <v>44</v>
      </c>
      <c r="R13" s="10" t="s">
        <v>45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 x14ac:dyDescent="0.35">
      <c r="A14" s="10" t="s">
        <v>59</v>
      </c>
      <c r="B14" s="17" t="s">
        <v>60</v>
      </c>
      <c r="C14" s="10" t="s">
        <v>61</v>
      </c>
      <c r="D14" s="10" t="s">
        <v>61</v>
      </c>
      <c r="E14" s="89">
        <v>4</v>
      </c>
      <c r="F14" s="10" t="s">
        <v>62</v>
      </c>
      <c r="G14" s="10" t="s">
        <v>61</v>
      </c>
      <c r="H14" s="92">
        <v>45778</v>
      </c>
      <c r="I14" s="103"/>
      <c r="J14" s="94">
        <v>23513373.66</v>
      </c>
      <c r="K14" s="94">
        <v>23513373.66</v>
      </c>
      <c r="L14" s="89" t="s">
        <v>41</v>
      </c>
      <c r="M14" s="10" t="s">
        <v>63</v>
      </c>
      <c r="N14" s="11">
        <v>2485</v>
      </c>
      <c r="O14" s="12">
        <v>45848</v>
      </c>
      <c r="P14" s="10" t="s">
        <v>62</v>
      </c>
      <c r="Q14" s="10" t="s">
        <v>44</v>
      </c>
      <c r="R14" s="10" t="s">
        <v>45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 x14ac:dyDescent="0.35">
      <c r="A15" s="10" t="s">
        <v>59</v>
      </c>
      <c r="B15" s="17" t="s">
        <v>60</v>
      </c>
      <c r="C15" s="10" t="s">
        <v>61</v>
      </c>
      <c r="D15" s="10" t="s">
        <v>61</v>
      </c>
      <c r="E15" s="89">
        <v>1</v>
      </c>
      <c r="F15" s="10" t="s">
        <v>64</v>
      </c>
      <c r="G15" s="10" t="s">
        <v>61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41</v>
      </c>
      <c r="M15" s="17" t="s">
        <v>63</v>
      </c>
      <c r="N15" s="11">
        <v>2486</v>
      </c>
      <c r="O15" s="12">
        <v>45848</v>
      </c>
      <c r="P15" s="10" t="s">
        <v>64</v>
      </c>
      <c r="Q15" s="17" t="s">
        <v>44</v>
      </c>
      <c r="R15" s="17" t="s">
        <v>45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 x14ac:dyDescent="0.35">
      <c r="A16" s="17" t="s">
        <v>65</v>
      </c>
      <c r="B16" s="17" t="s">
        <v>60</v>
      </c>
      <c r="C16" s="17" t="s">
        <v>66</v>
      </c>
      <c r="D16" s="89" t="s">
        <v>67</v>
      </c>
      <c r="E16" s="89">
        <v>1</v>
      </c>
      <c r="F16" s="89" t="s">
        <v>39</v>
      </c>
      <c r="G16" s="89" t="s">
        <v>40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41</v>
      </c>
      <c r="M16" s="17" t="s">
        <v>63</v>
      </c>
      <c r="N16" s="18">
        <v>2488</v>
      </c>
      <c r="O16" s="12">
        <v>45848</v>
      </c>
      <c r="P16" s="17" t="s">
        <v>68</v>
      </c>
      <c r="Q16" s="17" t="s">
        <v>44</v>
      </c>
      <c r="R16" s="17" t="s">
        <v>45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 x14ac:dyDescent="0.35">
      <c r="A17" s="17" t="s">
        <v>65</v>
      </c>
      <c r="B17" s="17" t="s">
        <v>60</v>
      </c>
      <c r="C17" s="17" t="s">
        <v>66</v>
      </c>
      <c r="D17" s="89" t="s">
        <v>67</v>
      </c>
      <c r="E17" s="89">
        <v>1</v>
      </c>
      <c r="F17" s="89" t="s">
        <v>39</v>
      </c>
      <c r="G17" s="89" t="s">
        <v>40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41</v>
      </c>
      <c r="M17" s="17" t="s">
        <v>63</v>
      </c>
      <c r="N17" s="18">
        <v>2490</v>
      </c>
      <c r="O17" s="12">
        <v>45882</v>
      </c>
      <c r="P17" s="17" t="s">
        <v>69</v>
      </c>
      <c r="Q17" s="17" t="s">
        <v>44</v>
      </c>
      <c r="R17" s="17" t="s">
        <v>45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 x14ac:dyDescent="0.35">
      <c r="A18" s="17" t="s">
        <v>65</v>
      </c>
      <c r="B18" s="17" t="s">
        <v>60</v>
      </c>
      <c r="C18" s="17" t="s">
        <v>66</v>
      </c>
      <c r="D18" s="89" t="s">
        <v>67</v>
      </c>
      <c r="E18" s="89">
        <v>1</v>
      </c>
      <c r="F18" s="89" t="s">
        <v>70</v>
      </c>
      <c r="G18" s="89" t="s">
        <v>47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41</v>
      </c>
      <c r="M18" s="17" t="s">
        <v>63</v>
      </c>
      <c r="N18" s="18">
        <v>2491</v>
      </c>
      <c r="O18" s="12">
        <v>45882</v>
      </c>
      <c r="P18" s="17" t="s">
        <v>71</v>
      </c>
      <c r="Q18" s="17" t="s">
        <v>44</v>
      </c>
      <c r="R18" s="17" t="s">
        <v>45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 x14ac:dyDescent="0.35">
      <c r="A19" s="17" t="s">
        <v>65</v>
      </c>
      <c r="B19" s="17" t="s">
        <v>60</v>
      </c>
      <c r="C19" s="17" t="s">
        <v>66</v>
      </c>
      <c r="D19" s="89" t="s">
        <v>67</v>
      </c>
      <c r="E19" s="89">
        <v>2</v>
      </c>
      <c r="F19" s="89" t="s">
        <v>39</v>
      </c>
      <c r="G19" s="89" t="s">
        <v>40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41</v>
      </c>
      <c r="M19" s="17" t="s">
        <v>63</v>
      </c>
      <c r="N19" s="18">
        <v>2494</v>
      </c>
      <c r="O19" s="12">
        <v>45896</v>
      </c>
      <c r="P19" s="17" t="s">
        <v>72</v>
      </c>
      <c r="Q19" s="17" t="s">
        <v>44</v>
      </c>
      <c r="R19" s="17" t="s">
        <v>45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 x14ac:dyDescent="0.35">
      <c r="A20" s="17" t="s">
        <v>65</v>
      </c>
      <c r="B20" s="17" t="s">
        <v>60</v>
      </c>
      <c r="C20" s="17" t="s">
        <v>66</v>
      </c>
      <c r="D20" s="89" t="s">
        <v>67</v>
      </c>
      <c r="E20" s="89">
        <v>2</v>
      </c>
      <c r="F20" s="89" t="s">
        <v>70</v>
      </c>
      <c r="G20" s="89" t="s">
        <v>47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41</v>
      </c>
      <c r="M20" s="17" t="s">
        <v>63</v>
      </c>
      <c r="N20" s="18">
        <v>2495</v>
      </c>
      <c r="O20" s="12">
        <v>45896</v>
      </c>
      <c r="P20" s="17" t="s">
        <v>73</v>
      </c>
      <c r="Q20" s="17" t="s">
        <v>44</v>
      </c>
      <c r="R20" s="17" t="s">
        <v>45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 x14ac:dyDescent="0.35">
      <c r="A21" s="17" t="s">
        <v>65</v>
      </c>
      <c r="B21" s="17" t="s">
        <v>60</v>
      </c>
      <c r="C21" s="17" t="s">
        <v>66</v>
      </c>
      <c r="D21" s="89" t="s">
        <v>67</v>
      </c>
      <c r="E21" s="89">
        <v>2</v>
      </c>
      <c r="F21" s="89" t="s">
        <v>39</v>
      </c>
      <c r="G21" s="89" t="s">
        <v>40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41</v>
      </c>
      <c r="M21" s="17" t="s">
        <v>63</v>
      </c>
      <c r="N21" s="18">
        <v>2499</v>
      </c>
      <c r="O21" s="12">
        <v>45897</v>
      </c>
      <c r="P21" s="17" t="s">
        <v>72</v>
      </c>
      <c r="Q21" s="17" t="s">
        <v>44</v>
      </c>
      <c r="R21" s="17" t="s">
        <v>45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 x14ac:dyDescent="0.35">
      <c r="A22" s="17" t="s">
        <v>65</v>
      </c>
      <c r="B22" s="17" t="s">
        <v>60</v>
      </c>
      <c r="C22" s="17" t="s">
        <v>66</v>
      </c>
      <c r="D22" s="89" t="s">
        <v>67</v>
      </c>
      <c r="E22" s="89">
        <v>2</v>
      </c>
      <c r="F22" s="89" t="s">
        <v>70</v>
      </c>
      <c r="G22" s="89" t="s">
        <v>47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41</v>
      </c>
      <c r="M22" s="17" t="s">
        <v>63</v>
      </c>
      <c r="N22" s="18">
        <v>2500</v>
      </c>
      <c r="O22" s="12">
        <v>45897</v>
      </c>
      <c r="P22" s="17" t="s">
        <v>73</v>
      </c>
      <c r="Q22" s="17" t="s">
        <v>44</v>
      </c>
      <c r="R22" s="17" t="s">
        <v>45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 x14ac:dyDescent="0.35">
      <c r="A23" s="17" t="s">
        <v>65</v>
      </c>
      <c r="B23" s="17" t="s">
        <v>60</v>
      </c>
      <c r="C23" s="17" t="s">
        <v>66</v>
      </c>
      <c r="D23" s="89" t="s">
        <v>67</v>
      </c>
      <c r="E23" s="89">
        <v>3</v>
      </c>
      <c r="F23" s="89" t="s">
        <v>39</v>
      </c>
      <c r="G23" s="89" t="s">
        <v>40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41</v>
      </c>
      <c r="M23" s="17" t="s">
        <v>63</v>
      </c>
      <c r="N23" s="18">
        <v>2504</v>
      </c>
      <c r="O23" s="12">
        <v>45903</v>
      </c>
      <c r="P23" s="17" t="s">
        <v>74</v>
      </c>
      <c r="Q23" s="17" t="s">
        <v>44</v>
      </c>
      <c r="R23" s="17" t="s">
        <v>45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 x14ac:dyDescent="0.35">
      <c r="A24" s="17" t="s">
        <v>65</v>
      </c>
      <c r="B24" s="17" t="s">
        <v>60</v>
      </c>
      <c r="C24" s="17" t="s">
        <v>66</v>
      </c>
      <c r="D24" s="89" t="s">
        <v>67</v>
      </c>
      <c r="E24" s="89">
        <v>3</v>
      </c>
      <c r="F24" s="89" t="s">
        <v>70</v>
      </c>
      <c r="G24" s="89" t="s">
        <v>47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41</v>
      </c>
      <c r="M24" s="17" t="s">
        <v>63</v>
      </c>
      <c r="N24" s="18">
        <v>2505</v>
      </c>
      <c r="O24" s="12">
        <v>45903</v>
      </c>
      <c r="P24" s="17" t="s">
        <v>75</v>
      </c>
      <c r="Q24" s="17" t="s">
        <v>44</v>
      </c>
      <c r="R24" s="17" t="s">
        <v>45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 x14ac:dyDescent="0.35">
      <c r="A25" s="17" t="s">
        <v>65</v>
      </c>
      <c r="B25" s="17" t="s">
        <v>60</v>
      </c>
      <c r="C25" s="17" t="s">
        <v>66</v>
      </c>
      <c r="D25" s="89" t="s">
        <v>67</v>
      </c>
      <c r="E25" s="89">
        <v>3</v>
      </c>
      <c r="F25" s="89" t="s">
        <v>39</v>
      </c>
      <c r="G25" s="89" t="s">
        <v>40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41</v>
      </c>
      <c r="M25" s="17" t="s">
        <v>63</v>
      </c>
      <c r="N25" s="18">
        <v>2506</v>
      </c>
      <c r="O25" s="12">
        <v>45903</v>
      </c>
      <c r="P25" s="17" t="s">
        <v>74</v>
      </c>
      <c r="Q25" s="17" t="s">
        <v>44</v>
      </c>
      <c r="R25" s="17" t="s">
        <v>45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 x14ac:dyDescent="0.35">
      <c r="A26" s="17" t="s">
        <v>65</v>
      </c>
      <c r="B26" s="17" t="s">
        <v>60</v>
      </c>
      <c r="C26" s="17" t="s">
        <v>66</v>
      </c>
      <c r="D26" s="89" t="s">
        <v>67</v>
      </c>
      <c r="E26" s="89">
        <v>3</v>
      </c>
      <c r="F26" s="89" t="s">
        <v>70</v>
      </c>
      <c r="G26" s="89" t="s">
        <v>47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41</v>
      </c>
      <c r="M26" s="17" t="s">
        <v>63</v>
      </c>
      <c r="N26" s="18">
        <v>2507</v>
      </c>
      <c r="O26" s="12">
        <v>45903</v>
      </c>
      <c r="P26" s="17" t="s">
        <v>75</v>
      </c>
      <c r="Q26" s="17" t="s">
        <v>44</v>
      </c>
      <c r="R26" s="17" t="s">
        <v>45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 x14ac:dyDescent="0.35">
      <c r="A27" s="17" t="s">
        <v>65</v>
      </c>
      <c r="B27" s="17" t="s">
        <v>60</v>
      </c>
      <c r="C27" s="17" t="s">
        <v>66</v>
      </c>
      <c r="D27" s="89" t="s">
        <v>67</v>
      </c>
      <c r="E27" s="89">
        <v>4</v>
      </c>
      <c r="F27" s="89" t="s">
        <v>39</v>
      </c>
      <c r="G27" s="89" t="s">
        <v>40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41</v>
      </c>
      <c r="M27" s="17" t="s">
        <v>63</v>
      </c>
      <c r="N27" s="18">
        <v>2509</v>
      </c>
      <c r="O27" s="12">
        <v>45915</v>
      </c>
      <c r="P27" s="17" t="s">
        <v>76</v>
      </c>
      <c r="Q27" s="17" t="s">
        <v>44</v>
      </c>
      <c r="R27" s="17" t="s">
        <v>45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 x14ac:dyDescent="0.35">
      <c r="A28" s="17" t="s">
        <v>65</v>
      </c>
      <c r="B28" s="17" t="s">
        <v>60</v>
      </c>
      <c r="C28" s="17" t="s">
        <v>66</v>
      </c>
      <c r="D28" s="89" t="s">
        <v>67</v>
      </c>
      <c r="E28" s="89">
        <v>4</v>
      </c>
      <c r="F28" s="89" t="s">
        <v>70</v>
      </c>
      <c r="G28" s="89" t="s">
        <v>47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41</v>
      </c>
      <c r="M28" s="17" t="s">
        <v>63</v>
      </c>
      <c r="N28" s="18">
        <v>2510</v>
      </c>
      <c r="O28" s="12">
        <v>45915</v>
      </c>
      <c r="P28" s="17" t="s">
        <v>77</v>
      </c>
      <c r="Q28" s="17" t="s">
        <v>44</v>
      </c>
      <c r="R28" s="17" t="s">
        <v>45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 x14ac:dyDescent="0.35">
      <c r="A29" s="17" t="s">
        <v>65</v>
      </c>
      <c r="B29" s="17" t="s">
        <v>60</v>
      </c>
      <c r="C29" s="17" t="s">
        <v>66</v>
      </c>
      <c r="D29" s="89" t="s">
        <v>67</v>
      </c>
      <c r="E29" s="89">
        <v>4</v>
      </c>
      <c r="F29" s="89" t="s">
        <v>39</v>
      </c>
      <c r="G29" s="89" t="s">
        <v>40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41</v>
      </c>
      <c r="M29" s="17" t="s">
        <v>63</v>
      </c>
      <c r="N29" s="18">
        <v>2511</v>
      </c>
      <c r="O29" s="12">
        <v>45915</v>
      </c>
      <c r="P29" s="17" t="s">
        <v>76</v>
      </c>
      <c r="Q29" s="17" t="s">
        <v>44</v>
      </c>
      <c r="R29" s="17" t="s">
        <v>45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 x14ac:dyDescent="0.35">
      <c r="A30" s="17" t="s">
        <v>65</v>
      </c>
      <c r="B30" s="17" t="s">
        <v>60</v>
      </c>
      <c r="C30" s="17" t="s">
        <v>66</v>
      </c>
      <c r="D30" s="89" t="s">
        <v>67</v>
      </c>
      <c r="E30" s="89">
        <v>4</v>
      </c>
      <c r="F30" s="89" t="s">
        <v>70</v>
      </c>
      <c r="G30" s="89" t="s">
        <v>47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41</v>
      </c>
      <c r="M30" s="17" t="s">
        <v>63</v>
      </c>
      <c r="N30" s="18">
        <v>2512</v>
      </c>
      <c r="O30" s="12">
        <v>45915</v>
      </c>
      <c r="P30" s="17" t="s">
        <v>77</v>
      </c>
      <c r="Q30" s="17" t="s">
        <v>44</v>
      </c>
      <c r="R30" s="17" t="s">
        <v>45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 x14ac:dyDescent="0.35">
      <c r="A31" s="14" t="s">
        <v>78</v>
      </c>
      <c r="B31" s="14" t="s">
        <v>79</v>
      </c>
      <c r="C31" s="14" t="s">
        <v>80</v>
      </c>
      <c r="D31" s="89" t="s">
        <v>81</v>
      </c>
      <c r="E31" s="89">
        <v>4</v>
      </c>
      <c r="F31" s="89" t="s">
        <v>82</v>
      </c>
      <c r="G31" s="89" t="s">
        <v>40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41</v>
      </c>
      <c r="M31" s="14" t="s">
        <v>63</v>
      </c>
      <c r="N31" s="15">
        <v>2513</v>
      </c>
      <c r="O31" s="12">
        <v>45915</v>
      </c>
      <c r="P31" s="14" t="s">
        <v>83</v>
      </c>
      <c r="Q31" s="14" t="s">
        <v>44</v>
      </c>
      <c r="R31" s="14" t="s">
        <v>45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 x14ac:dyDescent="0.35">
      <c r="A32" s="14" t="s">
        <v>84</v>
      </c>
      <c r="B32" s="14" t="s">
        <v>79</v>
      </c>
      <c r="C32" s="14" t="s">
        <v>85</v>
      </c>
      <c r="D32" s="89" t="s">
        <v>86</v>
      </c>
      <c r="E32" s="89">
        <v>1</v>
      </c>
      <c r="F32" s="89" t="s">
        <v>87</v>
      </c>
      <c r="G32" s="89" t="s">
        <v>40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41</v>
      </c>
      <c r="M32" s="14" t="s">
        <v>63</v>
      </c>
      <c r="N32" s="15">
        <v>2515</v>
      </c>
      <c r="O32" s="12">
        <v>45925</v>
      </c>
      <c r="P32" s="14" t="s">
        <v>88</v>
      </c>
      <c r="Q32" s="14" t="s">
        <v>44</v>
      </c>
      <c r="R32" s="14" t="s">
        <v>45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 x14ac:dyDescent="0.35">
      <c r="A33" s="17" t="s">
        <v>65</v>
      </c>
      <c r="B33" s="17" t="s">
        <v>60</v>
      </c>
      <c r="C33" s="17" t="s">
        <v>66</v>
      </c>
      <c r="D33" s="89" t="s">
        <v>67</v>
      </c>
      <c r="E33" s="89">
        <v>5</v>
      </c>
      <c r="F33" s="89" t="s">
        <v>39</v>
      </c>
      <c r="G33" s="89" t="s">
        <v>40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41</v>
      </c>
      <c r="M33" s="17" t="s">
        <v>63</v>
      </c>
      <c r="N33" s="18">
        <v>2535</v>
      </c>
      <c r="O33" s="12">
        <v>45947</v>
      </c>
      <c r="P33" s="17" t="s">
        <v>89</v>
      </c>
      <c r="Q33" s="17" t="s">
        <v>44</v>
      </c>
      <c r="R33" s="17" t="s">
        <v>45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 x14ac:dyDescent="0.35">
      <c r="A34" s="17" t="s">
        <v>65</v>
      </c>
      <c r="B34" s="17" t="s">
        <v>60</v>
      </c>
      <c r="C34" s="17" t="s">
        <v>66</v>
      </c>
      <c r="D34" s="89" t="s">
        <v>67</v>
      </c>
      <c r="E34" s="89">
        <v>5</v>
      </c>
      <c r="F34" s="89" t="s">
        <v>70</v>
      </c>
      <c r="G34" s="89" t="s">
        <v>47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41</v>
      </c>
      <c r="M34" s="17" t="s">
        <v>63</v>
      </c>
      <c r="N34" s="18">
        <v>2536</v>
      </c>
      <c r="O34" s="12">
        <v>45947</v>
      </c>
      <c r="P34" s="17" t="s">
        <v>90</v>
      </c>
      <c r="Q34" s="17" t="s">
        <v>44</v>
      </c>
      <c r="R34" s="17" t="s">
        <v>45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 x14ac:dyDescent="0.35">
      <c r="A35" s="14" t="s">
        <v>78</v>
      </c>
      <c r="B35" s="14" t="s">
        <v>79</v>
      </c>
      <c r="C35" s="14" t="s">
        <v>80</v>
      </c>
      <c r="D35" s="89" t="s">
        <v>81</v>
      </c>
      <c r="E35" s="89">
        <v>5</v>
      </c>
      <c r="F35" s="89" t="s">
        <v>82</v>
      </c>
      <c r="G35" s="89" t="s">
        <v>40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41</v>
      </c>
      <c r="M35" s="14" t="s">
        <v>63</v>
      </c>
      <c r="N35" s="15">
        <v>2537</v>
      </c>
      <c r="O35" s="12">
        <v>45952</v>
      </c>
      <c r="P35" s="14" t="s">
        <v>91</v>
      </c>
      <c r="Q35" s="14" t="s">
        <v>44</v>
      </c>
      <c r="R35" s="14" t="s">
        <v>45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 x14ac:dyDescent="0.35">
      <c r="A36" s="17" t="s">
        <v>65</v>
      </c>
      <c r="B36" s="17" t="s">
        <v>60</v>
      </c>
      <c r="C36" s="17" t="s">
        <v>66</v>
      </c>
      <c r="D36" s="89" t="s">
        <v>67</v>
      </c>
      <c r="E36" s="89">
        <v>5</v>
      </c>
      <c r="F36" s="89" t="s">
        <v>39</v>
      </c>
      <c r="G36" s="89" t="s">
        <v>40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41</v>
      </c>
      <c r="M36" s="17" t="s">
        <v>63</v>
      </c>
      <c r="N36" s="18">
        <v>2538</v>
      </c>
      <c r="O36" s="12">
        <v>45952</v>
      </c>
      <c r="P36" s="17" t="s">
        <v>92</v>
      </c>
      <c r="Q36" s="17" t="s">
        <v>44</v>
      </c>
      <c r="R36" s="17" t="s">
        <v>45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 x14ac:dyDescent="0.35">
      <c r="A37" s="17" t="s">
        <v>65</v>
      </c>
      <c r="B37" s="17" t="s">
        <v>60</v>
      </c>
      <c r="C37" s="17" t="s">
        <v>66</v>
      </c>
      <c r="D37" s="89" t="s">
        <v>67</v>
      </c>
      <c r="E37" s="89">
        <v>5</v>
      </c>
      <c r="F37" s="89" t="s">
        <v>70</v>
      </c>
      <c r="G37" s="89" t="s">
        <v>47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41</v>
      </c>
      <c r="M37" s="17" t="s">
        <v>63</v>
      </c>
      <c r="N37" s="18">
        <v>2539</v>
      </c>
      <c r="O37" s="12">
        <v>45952</v>
      </c>
      <c r="P37" s="17" t="s">
        <v>93</v>
      </c>
      <c r="Q37" s="17" t="s">
        <v>44</v>
      </c>
      <c r="R37" s="17" t="s">
        <v>45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 x14ac:dyDescent="0.35">
      <c r="A38" s="17" t="s">
        <v>65</v>
      </c>
      <c r="B38" s="17" t="s">
        <v>60</v>
      </c>
      <c r="C38" s="17" t="s">
        <v>66</v>
      </c>
      <c r="D38" s="89" t="s">
        <v>94</v>
      </c>
      <c r="E38" s="89">
        <v>5</v>
      </c>
      <c r="F38" s="89" t="s">
        <v>95</v>
      </c>
      <c r="G38" s="89" t="s">
        <v>40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41</v>
      </c>
      <c r="M38" s="17" t="s">
        <v>63</v>
      </c>
      <c r="N38" s="18">
        <v>2540</v>
      </c>
      <c r="O38" s="12">
        <v>45953</v>
      </c>
      <c r="P38" s="17" t="s">
        <v>96</v>
      </c>
      <c r="Q38" s="17" t="s">
        <v>44</v>
      </c>
      <c r="R38" s="17" t="s">
        <v>45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 x14ac:dyDescent="0.35">
      <c r="A39" s="17" t="s">
        <v>65</v>
      </c>
      <c r="B39" s="17" t="s">
        <v>60</v>
      </c>
      <c r="C39" s="17" t="s">
        <v>66</v>
      </c>
      <c r="D39" s="89" t="s">
        <v>94</v>
      </c>
      <c r="E39" s="89">
        <v>5</v>
      </c>
      <c r="F39" s="89" t="s">
        <v>97</v>
      </c>
      <c r="G39" s="89" t="s">
        <v>47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41</v>
      </c>
      <c r="M39" s="17" t="s">
        <v>63</v>
      </c>
      <c r="N39" s="18">
        <v>2541</v>
      </c>
      <c r="O39" s="12">
        <v>45953</v>
      </c>
      <c r="P39" s="17" t="s">
        <v>98</v>
      </c>
      <c r="Q39" s="17" t="s">
        <v>44</v>
      </c>
      <c r="R39" s="17" t="s">
        <v>45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 x14ac:dyDescent="0.35">
      <c r="A40" s="14" t="s">
        <v>84</v>
      </c>
      <c r="B40" s="14" t="s">
        <v>79</v>
      </c>
      <c r="C40" s="14" t="s">
        <v>85</v>
      </c>
      <c r="D40" s="89" t="s">
        <v>86</v>
      </c>
      <c r="E40" s="89">
        <v>2</v>
      </c>
      <c r="F40" s="89" t="s">
        <v>87</v>
      </c>
      <c r="G40" s="89" t="s">
        <v>40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41</v>
      </c>
      <c r="M40" s="14" t="s">
        <v>63</v>
      </c>
      <c r="N40" s="15">
        <v>2542</v>
      </c>
      <c r="O40" s="12">
        <v>45953</v>
      </c>
      <c r="P40" s="14" t="s">
        <v>99</v>
      </c>
      <c r="Q40" s="14" t="s">
        <v>44</v>
      </c>
      <c r="R40" s="14" t="s">
        <v>45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 x14ac:dyDescent="0.35">
      <c r="A41" s="14" t="s">
        <v>84</v>
      </c>
      <c r="B41" s="14" t="s">
        <v>79</v>
      </c>
      <c r="C41" s="14" t="s">
        <v>85</v>
      </c>
      <c r="D41" s="89" t="s">
        <v>86</v>
      </c>
      <c r="E41" s="89">
        <v>2</v>
      </c>
      <c r="F41" s="89" t="s">
        <v>100</v>
      </c>
      <c r="G41" s="89" t="s">
        <v>47</v>
      </c>
      <c r="H41" s="92">
        <v>45901</v>
      </c>
      <c r="I41" s="103"/>
      <c r="J41" s="96">
        <v>954024.77</v>
      </c>
      <c r="K41" s="96">
        <v>954024.77</v>
      </c>
      <c r="L41" s="89" t="s">
        <v>41</v>
      </c>
      <c r="M41" s="14" t="s">
        <v>63</v>
      </c>
      <c r="N41" s="15">
        <v>2543</v>
      </c>
      <c r="O41" s="12">
        <v>45953</v>
      </c>
      <c r="P41" s="14" t="s">
        <v>101</v>
      </c>
      <c r="Q41" s="14" t="s">
        <v>44</v>
      </c>
      <c r="R41" s="14" t="s">
        <v>45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 x14ac:dyDescent="0.35">
      <c r="A42" s="14" t="s">
        <v>84</v>
      </c>
      <c r="B42" s="14" t="s">
        <v>79</v>
      </c>
      <c r="C42" s="14" t="s">
        <v>85</v>
      </c>
      <c r="D42" s="89" t="s">
        <v>102</v>
      </c>
      <c r="E42" s="89">
        <v>1</v>
      </c>
      <c r="F42" s="89" t="s">
        <v>103</v>
      </c>
      <c r="G42" s="89" t="s">
        <v>40</v>
      </c>
      <c r="H42" s="92">
        <v>45901</v>
      </c>
      <c r="I42" s="103"/>
      <c r="J42" s="96">
        <v>130749094</v>
      </c>
      <c r="K42" s="96">
        <v>130749094</v>
      </c>
      <c r="L42" s="89" t="s">
        <v>41</v>
      </c>
      <c r="M42" s="14" t="s">
        <v>63</v>
      </c>
      <c r="N42" s="15">
        <v>2544</v>
      </c>
      <c r="O42" s="12">
        <v>45954</v>
      </c>
      <c r="P42" s="14" t="s">
        <v>104</v>
      </c>
      <c r="Q42" s="14" t="s">
        <v>44</v>
      </c>
      <c r="R42" s="14" t="s">
        <v>45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 x14ac:dyDescent="0.35">
      <c r="A43" s="14" t="s">
        <v>78</v>
      </c>
      <c r="B43" s="14" t="s">
        <v>79</v>
      </c>
      <c r="C43" s="14" t="s">
        <v>80</v>
      </c>
      <c r="D43" s="89" t="s">
        <v>81</v>
      </c>
      <c r="E43" s="89">
        <v>6</v>
      </c>
      <c r="F43" s="89" t="s">
        <v>82</v>
      </c>
      <c r="G43" s="89" t="s">
        <v>40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41</v>
      </c>
      <c r="M43" s="14" t="s">
        <v>63</v>
      </c>
      <c r="N43" s="15">
        <v>2547</v>
      </c>
      <c r="O43" s="12">
        <v>45986</v>
      </c>
      <c r="P43" s="14" t="s">
        <v>105</v>
      </c>
      <c r="Q43" s="14" t="s">
        <v>44</v>
      </c>
      <c r="R43" s="14" t="s">
        <v>45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 x14ac:dyDescent="0.35">
      <c r="A44" s="34" t="s">
        <v>78</v>
      </c>
      <c r="B44" s="14" t="s">
        <v>79</v>
      </c>
      <c r="C44" s="34" t="s">
        <v>80</v>
      </c>
      <c r="D44" s="89" t="s">
        <v>106</v>
      </c>
      <c r="E44" s="89">
        <v>1</v>
      </c>
      <c r="F44" s="89" t="s">
        <v>107</v>
      </c>
      <c r="G44" s="89" t="s">
        <v>40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41</v>
      </c>
      <c r="M44" s="34" t="s">
        <v>63</v>
      </c>
      <c r="N44" s="35">
        <v>2549</v>
      </c>
      <c r="O44" s="12">
        <v>46028</v>
      </c>
      <c r="P44" s="34" t="s">
        <v>108</v>
      </c>
      <c r="Q44" s="34" t="s">
        <v>44</v>
      </c>
      <c r="R44" s="34" t="s">
        <v>45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 x14ac:dyDescent="0.35">
      <c r="A45" s="34" t="s">
        <v>78</v>
      </c>
      <c r="B45" s="14" t="s">
        <v>79</v>
      </c>
      <c r="C45" s="34" t="s">
        <v>80</v>
      </c>
      <c r="D45" s="89" t="s">
        <v>109</v>
      </c>
      <c r="E45" s="89">
        <v>1</v>
      </c>
      <c r="F45" s="89" t="s">
        <v>110</v>
      </c>
      <c r="G45" s="89" t="s">
        <v>47</v>
      </c>
      <c r="H45" s="92">
        <v>45931</v>
      </c>
      <c r="I45" s="103"/>
      <c r="J45" s="94">
        <v>431697.66</v>
      </c>
      <c r="K45" s="94">
        <v>431697.66</v>
      </c>
      <c r="L45" s="89" t="s">
        <v>41</v>
      </c>
      <c r="M45" s="34" t="s">
        <v>63</v>
      </c>
      <c r="N45" s="35">
        <v>2550</v>
      </c>
      <c r="O45" s="12">
        <v>46028</v>
      </c>
      <c r="P45" s="34" t="s">
        <v>111</v>
      </c>
      <c r="Q45" s="34" t="s">
        <v>44</v>
      </c>
      <c r="R45" s="34" t="s">
        <v>45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 x14ac:dyDescent="0.35">
      <c r="A46" s="17" t="s">
        <v>65</v>
      </c>
      <c r="B46" s="17" t="s">
        <v>60</v>
      </c>
      <c r="C46" s="17" t="s">
        <v>66</v>
      </c>
      <c r="D46" s="89" t="s">
        <v>67</v>
      </c>
      <c r="E46" s="89">
        <v>6</v>
      </c>
      <c r="F46" s="89" t="s">
        <v>39</v>
      </c>
      <c r="G46" s="89" t="s">
        <v>40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41</v>
      </c>
      <c r="M46" s="17" t="s">
        <v>63</v>
      </c>
      <c r="N46" s="18">
        <v>2551</v>
      </c>
      <c r="O46" s="12">
        <v>45988</v>
      </c>
      <c r="P46" s="17" t="s">
        <v>112</v>
      </c>
      <c r="Q46" s="17" t="s">
        <v>44</v>
      </c>
      <c r="R46" s="17" t="s">
        <v>45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 x14ac:dyDescent="0.35">
      <c r="A47" s="17" t="s">
        <v>65</v>
      </c>
      <c r="B47" s="17" t="s">
        <v>60</v>
      </c>
      <c r="C47" s="17" t="s">
        <v>66</v>
      </c>
      <c r="D47" s="89" t="s">
        <v>67</v>
      </c>
      <c r="E47" s="89">
        <v>6</v>
      </c>
      <c r="F47" s="89" t="s">
        <v>70</v>
      </c>
      <c r="G47" s="89" t="s">
        <v>47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41</v>
      </c>
      <c r="M47" s="17" t="s">
        <v>63</v>
      </c>
      <c r="N47" s="18">
        <v>2552</v>
      </c>
      <c r="O47" s="12">
        <v>45988</v>
      </c>
      <c r="P47" s="17" t="s">
        <v>113</v>
      </c>
      <c r="Q47" s="17" t="s">
        <v>44</v>
      </c>
      <c r="R47" s="17" t="s">
        <v>45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 x14ac:dyDescent="0.35">
      <c r="A48" s="32" t="s">
        <v>114</v>
      </c>
      <c r="B48" s="14" t="s">
        <v>79</v>
      </c>
      <c r="C48" s="32" t="s">
        <v>115</v>
      </c>
      <c r="D48" s="32" t="s">
        <v>115</v>
      </c>
      <c r="E48" s="89">
        <v>1</v>
      </c>
      <c r="F48" s="89" t="s">
        <v>39</v>
      </c>
      <c r="G48" s="89" t="s">
        <v>40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41</v>
      </c>
      <c r="M48" s="32" t="s">
        <v>63</v>
      </c>
      <c r="N48" s="33">
        <v>2553</v>
      </c>
      <c r="O48" s="12">
        <v>46367</v>
      </c>
      <c r="P48" s="32" t="s">
        <v>116</v>
      </c>
      <c r="Q48" s="17" t="s">
        <v>44</v>
      </c>
      <c r="R48" s="17" t="s">
        <v>45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 x14ac:dyDescent="0.35">
      <c r="A49" s="32" t="s">
        <v>114</v>
      </c>
      <c r="B49" s="14" t="s">
        <v>79</v>
      </c>
      <c r="C49" s="32" t="s">
        <v>115</v>
      </c>
      <c r="D49" s="32" t="s">
        <v>115</v>
      </c>
      <c r="E49" s="89">
        <v>1</v>
      </c>
      <c r="F49" s="89" t="s">
        <v>70</v>
      </c>
      <c r="G49" s="89" t="s">
        <v>47</v>
      </c>
      <c r="H49" s="92">
        <v>45931</v>
      </c>
      <c r="I49" s="103"/>
      <c r="J49" s="94">
        <v>1940293.66</v>
      </c>
      <c r="K49" s="94">
        <v>1940293.66</v>
      </c>
      <c r="L49" s="89" t="s">
        <v>41</v>
      </c>
      <c r="M49" s="32" t="s">
        <v>63</v>
      </c>
      <c r="N49" s="33">
        <v>2554</v>
      </c>
      <c r="O49" s="12">
        <v>46367</v>
      </c>
      <c r="P49" s="32" t="s">
        <v>117</v>
      </c>
      <c r="Q49" s="17" t="s">
        <v>44</v>
      </c>
      <c r="R49" s="17" t="s">
        <v>45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 x14ac:dyDescent="0.35">
      <c r="A50" s="27" t="s">
        <v>84</v>
      </c>
      <c r="B50" s="14" t="s">
        <v>79</v>
      </c>
      <c r="C50" s="27" t="s">
        <v>85</v>
      </c>
      <c r="D50" s="89" t="s">
        <v>102</v>
      </c>
      <c r="E50" s="89">
        <v>2</v>
      </c>
      <c r="F50" s="89" t="s">
        <v>103</v>
      </c>
      <c r="G50" s="89" t="s">
        <v>40</v>
      </c>
      <c r="H50" s="92">
        <v>45931</v>
      </c>
      <c r="I50" s="103"/>
      <c r="J50" s="94">
        <v>399759795.25</v>
      </c>
      <c r="K50" s="94">
        <v>399759795.25</v>
      </c>
      <c r="L50" s="89" t="s">
        <v>41</v>
      </c>
      <c r="M50" s="27" t="s">
        <v>63</v>
      </c>
      <c r="N50" s="28">
        <v>2562</v>
      </c>
      <c r="O50" s="12">
        <v>46031</v>
      </c>
      <c r="P50" s="27" t="s">
        <v>118</v>
      </c>
      <c r="Q50" s="17" t="s">
        <v>44</v>
      </c>
      <c r="R50" s="17" t="s">
        <v>45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 x14ac:dyDescent="0.35">
      <c r="A51" s="27" t="s">
        <v>84</v>
      </c>
      <c r="B51" s="14" t="s">
        <v>79</v>
      </c>
      <c r="C51" s="27" t="s">
        <v>85</v>
      </c>
      <c r="D51" s="89" t="s">
        <v>119</v>
      </c>
      <c r="E51" s="89">
        <v>2</v>
      </c>
      <c r="F51" s="89" t="s">
        <v>120</v>
      </c>
      <c r="G51" s="89" t="s">
        <v>47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41</v>
      </c>
      <c r="M51" s="27" t="s">
        <v>63</v>
      </c>
      <c r="N51" s="28">
        <v>2563</v>
      </c>
      <c r="O51" s="12">
        <v>46031</v>
      </c>
      <c r="P51" s="27" t="s">
        <v>121</v>
      </c>
      <c r="Q51" s="17" t="s">
        <v>44</v>
      </c>
      <c r="R51" s="17" t="s">
        <v>45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 x14ac:dyDescent="0.35">
      <c r="A52" s="24" t="s">
        <v>65</v>
      </c>
      <c r="B52" s="24" t="s">
        <v>60</v>
      </c>
      <c r="C52" s="24" t="s">
        <v>66</v>
      </c>
      <c r="D52" s="89" t="s">
        <v>67</v>
      </c>
      <c r="E52" s="89">
        <v>7</v>
      </c>
      <c r="F52" s="89" t="s">
        <v>39</v>
      </c>
      <c r="G52" s="89" t="s">
        <v>40</v>
      </c>
      <c r="H52" s="92">
        <v>45962</v>
      </c>
      <c r="I52" s="103"/>
      <c r="J52" s="94">
        <v>167064037.31</v>
      </c>
      <c r="K52" s="94">
        <v>167064037.31</v>
      </c>
      <c r="L52" s="89" t="s">
        <v>41</v>
      </c>
      <c r="M52" s="24" t="s">
        <v>63</v>
      </c>
      <c r="N52" s="25">
        <v>2556</v>
      </c>
      <c r="O52" s="12">
        <v>46028</v>
      </c>
      <c r="P52" s="24" t="s">
        <v>122</v>
      </c>
      <c r="Q52" s="24" t="s">
        <v>44</v>
      </c>
      <c r="R52" s="24" t="s">
        <v>45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 x14ac:dyDescent="0.35">
      <c r="A53" s="17" t="s">
        <v>65</v>
      </c>
      <c r="B53" s="17" t="s">
        <v>60</v>
      </c>
      <c r="C53" s="17" t="s">
        <v>66</v>
      </c>
      <c r="D53" s="89" t="s">
        <v>67</v>
      </c>
      <c r="E53" s="89">
        <v>7</v>
      </c>
      <c r="F53" s="89" t="s">
        <v>70</v>
      </c>
      <c r="G53" s="89" t="s">
        <v>47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41</v>
      </c>
      <c r="M53" s="17" t="s">
        <v>63</v>
      </c>
      <c r="N53" s="18">
        <v>2557</v>
      </c>
      <c r="O53" s="12">
        <v>46028</v>
      </c>
      <c r="P53" s="17" t="s">
        <v>123</v>
      </c>
      <c r="Q53" s="17" t="s">
        <v>44</v>
      </c>
      <c r="R53" s="17" t="s">
        <v>45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 x14ac:dyDescent="0.35">
      <c r="A54" s="34" t="s">
        <v>78</v>
      </c>
      <c r="B54" s="14" t="s">
        <v>79</v>
      </c>
      <c r="C54" s="34" t="s">
        <v>80</v>
      </c>
      <c r="D54" s="89" t="s">
        <v>81</v>
      </c>
      <c r="E54" s="89">
        <v>7</v>
      </c>
      <c r="F54" s="89" t="s">
        <v>82</v>
      </c>
      <c r="G54" s="89" t="s">
        <v>40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41</v>
      </c>
      <c r="M54" s="34" t="s">
        <v>63</v>
      </c>
      <c r="N54" s="35">
        <v>2558</v>
      </c>
      <c r="O54" s="12">
        <v>46028</v>
      </c>
      <c r="P54" s="34" t="s">
        <v>124</v>
      </c>
      <c r="Q54" s="34" t="s">
        <v>44</v>
      </c>
      <c r="R54" s="34" t="s">
        <v>45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 x14ac:dyDescent="0.35">
      <c r="A55" s="34" t="s">
        <v>78</v>
      </c>
      <c r="B55" s="14" t="s">
        <v>79</v>
      </c>
      <c r="C55" s="34" t="s">
        <v>80</v>
      </c>
      <c r="D55" s="89" t="s">
        <v>106</v>
      </c>
      <c r="E55" s="89">
        <v>2</v>
      </c>
      <c r="F55" s="89" t="s">
        <v>107</v>
      </c>
      <c r="G55" s="89" t="s">
        <v>40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41</v>
      </c>
      <c r="M55" s="34" t="s">
        <v>63</v>
      </c>
      <c r="N55" s="35">
        <v>2560</v>
      </c>
      <c r="O55" s="12">
        <v>46029</v>
      </c>
      <c r="P55" s="34" t="s">
        <v>125</v>
      </c>
      <c r="Q55" s="34" t="s">
        <v>44</v>
      </c>
      <c r="R55" s="34" t="s">
        <v>45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 x14ac:dyDescent="0.35">
      <c r="A56" s="34" t="s">
        <v>78</v>
      </c>
      <c r="B56" s="14" t="s">
        <v>79</v>
      </c>
      <c r="C56" s="34" t="s">
        <v>80</v>
      </c>
      <c r="D56" s="89" t="s">
        <v>109</v>
      </c>
      <c r="E56" s="89">
        <v>2</v>
      </c>
      <c r="F56" s="89" t="s">
        <v>110</v>
      </c>
      <c r="G56" s="89" t="s">
        <v>47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41</v>
      </c>
      <c r="M56" s="34" t="s">
        <v>63</v>
      </c>
      <c r="N56" s="35">
        <v>2561</v>
      </c>
      <c r="O56" s="12">
        <v>46029</v>
      </c>
      <c r="P56" s="34" t="s">
        <v>126</v>
      </c>
      <c r="Q56" s="34" t="s">
        <v>44</v>
      </c>
      <c r="R56" s="34" t="s">
        <v>45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 x14ac:dyDescent="0.35">
      <c r="A57" s="27" t="s">
        <v>84</v>
      </c>
      <c r="B57" s="14" t="s">
        <v>79</v>
      </c>
      <c r="C57" s="27" t="s">
        <v>85</v>
      </c>
      <c r="D57" s="89" t="s">
        <v>102</v>
      </c>
      <c r="E57" s="89">
        <v>3</v>
      </c>
      <c r="F57" s="89" t="s">
        <v>103</v>
      </c>
      <c r="G57" s="89" t="s">
        <v>40</v>
      </c>
      <c r="H57" s="92">
        <v>45962</v>
      </c>
      <c r="I57" s="103"/>
      <c r="J57" s="94">
        <v>381525904.25</v>
      </c>
      <c r="K57" s="94">
        <v>381525904.25</v>
      </c>
      <c r="L57" s="89" t="s">
        <v>41</v>
      </c>
      <c r="M57" s="27" t="s">
        <v>63</v>
      </c>
      <c r="N57" s="28">
        <v>2564</v>
      </c>
      <c r="O57" s="12">
        <v>46031</v>
      </c>
      <c r="P57" s="27" t="s">
        <v>127</v>
      </c>
      <c r="Q57" s="17" t="s">
        <v>44</v>
      </c>
      <c r="R57" s="17" t="s">
        <v>45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 x14ac:dyDescent="0.35">
      <c r="A58" s="27" t="s">
        <v>84</v>
      </c>
      <c r="B58" s="14" t="s">
        <v>79</v>
      </c>
      <c r="C58" s="27" t="s">
        <v>85</v>
      </c>
      <c r="D58" s="89" t="s">
        <v>119</v>
      </c>
      <c r="E58" s="89">
        <v>3</v>
      </c>
      <c r="F58" s="89" t="s">
        <v>120</v>
      </c>
      <c r="G58" s="89" t="s">
        <v>47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41</v>
      </c>
      <c r="M58" s="27" t="s">
        <v>63</v>
      </c>
      <c r="N58" s="28">
        <v>2565</v>
      </c>
      <c r="O58" s="12">
        <v>46031</v>
      </c>
      <c r="P58" s="27" t="s">
        <v>128</v>
      </c>
      <c r="Q58" s="17" t="s">
        <v>44</v>
      </c>
      <c r="R58" s="17" t="s">
        <v>45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customHeight="1" x14ac:dyDescent="0.35">
      <c r="A59" s="10" t="s">
        <v>129</v>
      </c>
      <c r="B59" s="14" t="s">
        <v>130</v>
      </c>
      <c r="C59" s="10" t="s">
        <v>366</v>
      </c>
      <c r="D59" s="89" t="s">
        <v>131</v>
      </c>
      <c r="E59" s="89" t="s">
        <v>45</v>
      </c>
      <c r="F59" s="89" t="s">
        <v>132</v>
      </c>
      <c r="G59" s="89" t="s">
        <v>133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41</v>
      </c>
      <c r="M59" s="10" t="s">
        <v>134</v>
      </c>
      <c r="N59" s="33">
        <v>366</v>
      </c>
      <c r="O59" s="12">
        <v>46162</v>
      </c>
      <c r="P59" s="10" t="s">
        <v>135</v>
      </c>
      <c r="Q59" s="10" t="s">
        <v>44</v>
      </c>
      <c r="R59" s="10" t="s">
        <v>45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v>0</v>
      </c>
      <c r="AJ59" s="94">
        <v>0</v>
      </c>
      <c r="AK59" s="90" t="s">
        <v>45</v>
      </c>
    </row>
    <row r="60" spans="1:37" ht="15" hidden="1" customHeight="1" x14ac:dyDescent="0.35">
      <c r="A60" s="10" t="s">
        <v>36</v>
      </c>
      <c r="B60" s="10" t="s">
        <v>37</v>
      </c>
      <c r="C60" s="10" t="s">
        <v>38</v>
      </c>
      <c r="D60" s="89">
        <v>0</v>
      </c>
      <c r="E60" s="89">
        <v>31</v>
      </c>
      <c r="F60" s="89" t="s">
        <v>39</v>
      </c>
      <c r="G60" s="89" t="s">
        <v>40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41</v>
      </c>
      <c r="M60" s="10" t="s">
        <v>42</v>
      </c>
      <c r="N60" s="11">
        <v>2011</v>
      </c>
      <c r="O60" s="12">
        <v>46056</v>
      </c>
      <c r="P60" s="10" t="s">
        <v>136</v>
      </c>
      <c r="Q60" s="10" t="s">
        <v>44</v>
      </c>
      <c r="R60" s="10" t="s">
        <v>45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 x14ac:dyDescent="0.35">
      <c r="A61" s="10" t="s">
        <v>36</v>
      </c>
      <c r="B61" s="10" t="s">
        <v>37</v>
      </c>
      <c r="C61" s="10" t="s">
        <v>38</v>
      </c>
      <c r="D61" s="89">
        <v>0</v>
      </c>
      <c r="E61" s="89">
        <v>31</v>
      </c>
      <c r="F61" s="89" t="s">
        <v>46</v>
      </c>
      <c r="G61" s="89" t="s">
        <v>47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41</v>
      </c>
      <c r="M61" s="10" t="s">
        <v>42</v>
      </c>
      <c r="N61" s="11">
        <v>2012</v>
      </c>
      <c r="O61" s="12">
        <v>46056</v>
      </c>
      <c r="P61" s="10" t="s">
        <v>137</v>
      </c>
      <c r="Q61" s="10" t="s">
        <v>44</v>
      </c>
      <c r="R61" s="10" t="s">
        <v>45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 x14ac:dyDescent="0.35">
      <c r="A62" s="34" t="s">
        <v>78</v>
      </c>
      <c r="B62" s="14" t="s">
        <v>79</v>
      </c>
      <c r="C62" s="34" t="s">
        <v>80</v>
      </c>
      <c r="D62" s="89" t="s">
        <v>81</v>
      </c>
      <c r="E62" s="89">
        <v>8</v>
      </c>
      <c r="F62" s="89" t="s">
        <v>82</v>
      </c>
      <c r="G62" s="89" t="s">
        <v>40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41</v>
      </c>
      <c r="M62" s="34" t="s">
        <v>63</v>
      </c>
      <c r="N62" s="35">
        <v>2559</v>
      </c>
      <c r="O62" s="12">
        <v>46028</v>
      </c>
      <c r="P62" s="34" t="s">
        <v>138</v>
      </c>
      <c r="Q62" s="34" t="s">
        <v>44</v>
      </c>
      <c r="R62" s="34" t="s">
        <v>45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 x14ac:dyDescent="0.35">
      <c r="A63" s="27" t="s">
        <v>84</v>
      </c>
      <c r="B63" s="14" t="s">
        <v>79</v>
      </c>
      <c r="C63" s="27" t="s">
        <v>85</v>
      </c>
      <c r="D63" s="89" t="s">
        <v>102</v>
      </c>
      <c r="E63" s="89">
        <v>4</v>
      </c>
      <c r="F63" s="89" t="s">
        <v>103</v>
      </c>
      <c r="G63" s="89" t="s">
        <v>40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41</v>
      </c>
      <c r="M63" s="27" t="s">
        <v>63</v>
      </c>
      <c r="N63" s="28">
        <v>2567</v>
      </c>
      <c r="O63" s="12">
        <v>46053</v>
      </c>
      <c r="P63" s="27" t="s">
        <v>139</v>
      </c>
      <c r="Q63" s="17" t="s">
        <v>44</v>
      </c>
      <c r="R63" s="17" t="s">
        <v>45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 x14ac:dyDescent="0.35">
      <c r="A64" s="27" t="s">
        <v>84</v>
      </c>
      <c r="B64" s="14" t="s">
        <v>79</v>
      </c>
      <c r="C64" s="27" t="s">
        <v>85</v>
      </c>
      <c r="D64" s="89" t="s">
        <v>119</v>
      </c>
      <c r="E64" s="89">
        <v>4</v>
      </c>
      <c r="F64" s="89" t="s">
        <v>120</v>
      </c>
      <c r="G64" s="89" t="s">
        <v>47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41</v>
      </c>
      <c r="M64" s="27" t="s">
        <v>63</v>
      </c>
      <c r="N64" s="28">
        <v>2568</v>
      </c>
      <c r="O64" s="12">
        <v>46053</v>
      </c>
      <c r="P64" s="27" t="s">
        <v>140</v>
      </c>
      <c r="Q64" s="17" t="s">
        <v>44</v>
      </c>
      <c r="R64" s="17" t="s">
        <v>45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 x14ac:dyDescent="0.35">
      <c r="A65" s="17" t="s">
        <v>65</v>
      </c>
      <c r="B65" s="17" t="s">
        <v>60</v>
      </c>
      <c r="C65" s="17" t="s">
        <v>66</v>
      </c>
      <c r="D65" s="89" t="s">
        <v>67</v>
      </c>
      <c r="E65" s="89">
        <v>8</v>
      </c>
      <c r="F65" s="89" t="s">
        <v>39</v>
      </c>
      <c r="G65" s="89" t="s">
        <v>40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41</v>
      </c>
      <c r="M65" s="17" t="s">
        <v>63</v>
      </c>
      <c r="N65" s="18">
        <v>2569</v>
      </c>
      <c r="O65" s="12">
        <v>46053</v>
      </c>
      <c r="P65" s="17" t="s">
        <v>141</v>
      </c>
      <c r="Q65" s="17" t="s">
        <v>44</v>
      </c>
      <c r="R65" s="17" t="s">
        <v>45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 x14ac:dyDescent="0.35">
      <c r="A66" s="17" t="s">
        <v>65</v>
      </c>
      <c r="B66" s="17" t="s">
        <v>60</v>
      </c>
      <c r="C66" s="17" t="s">
        <v>66</v>
      </c>
      <c r="D66" s="89" t="s">
        <v>67</v>
      </c>
      <c r="E66" s="89">
        <v>8</v>
      </c>
      <c r="F66" s="89" t="s">
        <v>70</v>
      </c>
      <c r="G66" s="89" t="s">
        <v>47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41</v>
      </c>
      <c r="M66" s="17" t="s">
        <v>63</v>
      </c>
      <c r="N66" s="18">
        <v>2570</v>
      </c>
      <c r="O66" s="12">
        <v>46053</v>
      </c>
      <c r="P66" s="17" t="s">
        <v>142</v>
      </c>
      <c r="Q66" s="17" t="s">
        <v>44</v>
      </c>
      <c r="R66" s="17" t="s">
        <v>45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3" si="25">+AA66-AI66</f>
        <v>-7.429998368024826E-3</v>
      </c>
      <c r="AK66" s="90">
        <f t="shared" si="20"/>
        <v>25</v>
      </c>
    </row>
    <row r="67" spans="1:37" ht="15" hidden="1" customHeight="1" x14ac:dyDescent="0.35">
      <c r="A67" s="32" t="s">
        <v>114</v>
      </c>
      <c r="B67" s="14" t="s">
        <v>79</v>
      </c>
      <c r="C67" s="32" t="s">
        <v>115</v>
      </c>
      <c r="D67" s="32" t="s">
        <v>115</v>
      </c>
      <c r="E67" s="89">
        <v>2</v>
      </c>
      <c r="F67" s="89" t="s">
        <v>39</v>
      </c>
      <c r="G67" s="89" t="s">
        <v>40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41</v>
      </c>
      <c r="M67" s="32" t="s">
        <v>63</v>
      </c>
      <c r="N67" s="33">
        <v>2571</v>
      </c>
      <c r="O67" s="12">
        <v>46053</v>
      </c>
      <c r="P67" s="32" t="s">
        <v>143</v>
      </c>
      <c r="Q67" s="17" t="s">
        <v>44</v>
      </c>
      <c r="R67" s="17" t="s">
        <v>45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 x14ac:dyDescent="0.35">
      <c r="A68" s="32" t="s">
        <v>114</v>
      </c>
      <c r="B68" s="14" t="s">
        <v>79</v>
      </c>
      <c r="C68" s="32" t="s">
        <v>115</v>
      </c>
      <c r="D68" s="32" t="s">
        <v>115</v>
      </c>
      <c r="E68" s="89">
        <v>2</v>
      </c>
      <c r="F68" s="89" t="s">
        <v>70</v>
      </c>
      <c r="G68" s="89" t="s">
        <v>47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41</v>
      </c>
      <c r="M68" s="32" t="s">
        <v>63</v>
      </c>
      <c r="N68" s="33">
        <v>2572</v>
      </c>
      <c r="O68" s="12">
        <v>46053</v>
      </c>
      <c r="P68" s="32" t="s">
        <v>144</v>
      </c>
      <c r="Q68" s="17" t="s">
        <v>44</v>
      </c>
      <c r="R68" s="17" t="s">
        <v>45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 x14ac:dyDescent="0.35">
      <c r="A69" s="34" t="s">
        <v>78</v>
      </c>
      <c r="B69" s="14" t="s">
        <v>79</v>
      </c>
      <c r="C69" s="34" t="s">
        <v>80</v>
      </c>
      <c r="D69" s="89" t="s">
        <v>106</v>
      </c>
      <c r="E69" s="89">
        <v>3</v>
      </c>
      <c r="F69" s="89" t="s">
        <v>107</v>
      </c>
      <c r="G69" s="89" t="s">
        <v>40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41</v>
      </c>
      <c r="M69" s="34" t="s">
        <v>63</v>
      </c>
      <c r="N69" s="35">
        <v>2573</v>
      </c>
      <c r="O69" s="12">
        <v>46053</v>
      </c>
      <c r="P69" s="34" t="s">
        <v>145</v>
      </c>
      <c r="Q69" s="34" t="s">
        <v>44</v>
      </c>
      <c r="R69" s="34" t="s">
        <v>45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 x14ac:dyDescent="0.35">
      <c r="A70" s="34" t="s">
        <v>78</v>
      </c>
      <c r="B70" s="14" t="s">
        <v>79</v>
      </c>
      <c r="C70" s="34" t="s">
        <v>80</v>
      </c>
      <c r="D70" s="89" t="s">
        <v>109</v>
      </c>
      <c r="E70" s="89">
        <v>3</v>
      </c>
      <c r="F70" s="89" t="s">
        <v>110</v>
      </c>
      <c r="G70" s="89" t="s">
        <v>47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41</v>
      </c>
      <c r="M70" s="34" t="s">
        <v>63</v>
      </c>
      <c r="N70" s="35">
        <v>2574</v>
      </c>
      <c r="O70" s="12">
        <v>46053</v>
      </c>
      <c r="P70" s="34" t="s">
        <v>146</v>
      </c>
      <c r="Q70" s="34" t="s">
        <v>44</v>
      </c>
      <c r="R70" s="34" t="s">
        <v>45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 x14ac:dyDescent="0.35">
      <c r="A71" s="34" t="s">
        <v>78</v>
      </c>
      <c r="B71" s="14" t="s">
        <v>79</v>
      </c>
      <c r="C71" s="34" t="s">
        <v>80</v>
      </c>
      <c r="D71" s="89" t="s">
        <v>147</v>
      </c>
      <c r="E71" s="89">
        <v>1</v>
      </c>
      <c r="F71" s="89" t="s">
        <v>148</v>
      </c>
      <c r="G71" s="89" t="s">
        <v>40</v>
      </c>
      <c r="H71" s="92">
        <v>45992</v>
      </c>
      <c r="I71" s="103"/>
      <c r="J71" s="94">
        <v>41160565</v>
      </c>
      <c r="K71" s="94">
        <v>41160565</v>
      </c>
      <c r="L71" s="89" t="s">
        <v>41</v>
      </c>
      <c r="M71" s="34" t="s">
        <v>63</v>
      </c>
      <c r="N71" s="35">
        <v>2575</v>
      </c>
      <c r="O71" s="12">
        <v>46053</v>
      </c>
      <c r="P71" s="34" t="s">
        <v>149</v>
      </c>
      <c r="Q71" s="34" t="s">
        <v>44</v>
      </c>
      <c r="R71" s="34" t="s">
        <v>45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 x14ac:dyDescent="0.35">
      <c r="A72" s="34" t="s">
        <v>78</v>
      </c>
      <c r="B72" s="14" t="s">
        <v>79</v>
      </c>
      <c r="C72" s="34" t="s">
        <v>80</v>
      </c>
      <c r="D72" s="89" t="s">
        <v>147</v>
      </c>
      <c r="E72" s="89">
        <v>1</v>
      </c>
      <c r="F72" s="89" t="s">
        <v>150</v>
      </c>
      <c r="G72" s="89" t="s">
        <v>47</v>
      </c>
      <c r="H72" s="92">
        <v>45992</v>
      </c>
      <c r="I72" s="103"/>
      <c r="J72" s="94">
        <v>820140.02</v>
      </c>
      <c r="K72" s="94">
        <v>820140.02</v>
      </c>
      <c r="L72" s="89" t="s">
        <v>41</v>
      </c>
      <c r="M72" s="34" t="s">
        <v>63</v>
      </c>
      <c r="N72" s="35">
        <v>2576</v>
      </c>
      <c r="O72" s="12">
        <v>46053</v>
      </c>
      <c r="P72" s="34" t="s">
        <v>151</v>
      </c>
      <c r="Q72" s="34" t="s">
        <v>44</v>
      </c>
      <c r="R72" s="34" t="s">
        <v>45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 x14ac:dyDescent="0.35">
      <c r="A73" s="34" t="s">
        <v>78</v>
      </c>
      <c r="B73" s="14" t="s">
        <v>79</v>
      </c>
      <c r="C73" s="34" t="s">
        <v>80</v>
      </c>
      <c r="D73" s="89" t="s">
        <v>152</v>
      </c>
      <c r="E73" s="89">
        <v>1</v>
      </c>
      <c r="F73" s="89" t="s">
        <v>153</v>
      </c>
      <c r="G73" s="89" t="s">
        <v>40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41</v>
      </c>
      <c r="M73" s="34" t="s">
        <v>63</v>
      </c>
      <c r="N73" s="35">
        <v>2577</v>
      </c>
      <c r="O73" s="12">
        <v>46053</v>
      </c>
      <c r="P73" s="34" t="s">
        <v>154</v>
      </c>
      <c r="Q73" s="34" t="s">
        <v>44</v>
      </c>
      <c r="R73" s="34" t="s">
        <v>45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 x14ac:dyDescent="0.35">
      <c r="A74" s="34" t="s">
        <v>78</v>
      </c>
      <c r="B74" s="14" t="s">
        <v>79</v>
      </c>
      <c r="C74" s="34" t="s">
        <v>80</v>
      </c>
      <c r="D74" s="89" t="s">
        <v>152</v>
      </c>
      <c r="E74" s="89">
        <v>1</v>
      </c>
      <c r="F74" s="89" t="s">
        <v>155</v>
      </c>
      <c r="G74" s="89" t="s">
        <v>47</v>
      </c>
      <c r="H74" s="92">
        <v>45992</v>
      </c>
      <c r="I74" s="103"/>
      <c r="J74" s="94">
        <v>5222371.43</v>
      </c>
      <c r="K74" s="94">
        <v>5222371.43</v>
      </c>
      <c r="L74" s="89" t="s">
        <v>41</v>
      </c>
      <c r="M74" s="34" t="s">
        <v>63</v>
      </c>
      <c r="N74" s="35">
        <v>2578</v>
      </c>
      <c r="O74" s="12">
        <v>46053</v>
      </c>
      <c r="P74" s="34" t="s">
        <v>156</v>
      </c>
      <c r="Q74" s="34" t="s">
        <v>44</v>
      </c>
      <c r="R74" s="34" t="s">
        <v>45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 x14ac:dyDescent="0.35">
      <c r="A75" s="24" t="s">
        <v>78</v>
      </c>
      <c r="B75" s="14" t="s">
        <v>79</v>
      </c>
      <c r="C75" s="24" t="s">
        <v>80</v>
      </c>
      <c r="D75" s="89" t="s">
        <v>157</v>
      </c>
      <c r="E75" s="89">
        <v>1</v>
      </c>
      <c r="F75" s="89" t="s">
        <v>158</v>
      </c>
      <c r="G75" s="89" t="s">
        <v>40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41</v>
      </c>
      <c r="M75" s="24" t="s">
        <v>63</v>
      </c>
      <c r="N75" s="25">
        <v>2581</v>
      </c>
      <c r="O75" s="12">
        <v>46064</v>
      </c>
      <c r="P75" s="24" t="s">
        <v>159</v>
      </c>
      <c r="Q75" s="24" t="s">
        <v>44</v>
      </c>
      <c r="R75" s="24" t="s">
        <v>45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customHeight="1" x14ac:dyDescent="0.35">
      <c r="A76" s="10" t="s">
        <v>129</v>
      </c>
      <c r="B76" s="14" t="s">
        <v>130</v>
      </c>
      <c r="C76" s="10" t="s">
        <v>366</v>
      </c>
      <c r="D76" s="89" t="s">
        <v>131</v>
      </c>
      <c r="E76" s="89">
        <v>1</v>
      </c>
      <c r="F76" s="89" t="s">
        <v>160</v>
      </c>
      <c r="G76" s="89" t="s">
        <v>40</v>
      </c>
      <c r="H76" s="92">
        <v>45992</v>
      </c>
      <c r="I76" s="94">
        <v>2287315809.0900002</v>
      </c>
      <c r="J76" s="94">
        <v>2287315809.0900002</v>
      </c>
      <c r="K76" s="94">
        <v>0</v>
      </c>
      <c r="L76" s="89" t="s">
        <v>41</v>
      </c>
      <c r="M76" s="10" t="s">
        <v>63</v>
      </c>
      <c r="N76" s="33">
        <v>2614</v>
      </c>
      <c r="O76" s="12">
        <v>46162</v>
      </c>
      <c r="P76" s="10" t="s">
        <v>161</v>
      </c>
      <c r="Q76" s="10" t="s">
        <v>44</v>
      </c>
      <c r="R76" s="10" t="s">
        <v>45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/>
      <c r="AC76" s="94"/>
      <c r="AD76" s="10"/>
      <c r="AE76" s="94"/>
      <c r="AF76" s="10"/>
      <c r="AG76" s="94"/>
      <c r="AH76" s="94"/>
      <c r="AI76" s="94">
        <v>0</v>
      </c>
      <c r="AJ76" s="94">
        <v>0</v>
      </c>
      <c r="AK76" s="90" t="str">
        <f t="shared" si="20"/>
        <v>Pendiente</v>
      </c>
    </row>
    <row r="77" spans="1:37" ht="15" customHeight="1" x14ac:dyDescent="0.35">
      <c r="A77" s="27" t="s">
        <v>129</v>
      </c>
      <c r="B77" s="27" t="s">
        <v>130</v>
      </c>
      <c r="C77" s="10" t="s">
        <v>366</v>
      </c>
      <c r="D77" s="89" t="s">
        <v>131</v>
      </c>
      <c r="E77" s="89">
        <v>1</v>
      </c>
      <c r="F77" s="89" t="s">
        <v>162</v>
      </c>
      <c r="G77" s="89" t="s">
        <v>47</v>
      </c>
      <c r="H77" s="92">
        <v>45992</v>
      </c>
      <c r="I77" s="94">
        <v>41089359.939999998</v>
      </c>
      <c r="J77" s="94">
        <v>41089359.939999998</v>
      </c>
      <c r="K77" s="94">
        <v>0</v>
      </c>
      <c r="L77" s="89" t="s">
        <v>41</v>
      </c>
      <c r="M77" s="27" t="s">
        <v>63</v>
      </c>
      <c r="N77" s="33">
        <v>2615</v>
      </c>
      <c r="O77" s="12">
        <v>46162</v>
      </c>
      <c r="P77" s="27" t="s">
        <v>163</v>
      </c>
      <c r="Q77" s="17" t="s">
        <v>44</v>
      </c>
      <c r="R77" s="17" t="s">
        <v>45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/>
      <c r="AC77" s="94"/>
      <c r="AD77" s="98"/>
      <c r="AE77" s="94"/>
      <c r="AF77" s="27"/>
      <c r="AG77" s="94"/>
      <c r="AH77" s="94"/>
      <c r="AI77" s="94"/>
      <c r="AJ77" s="94">
        <v>0</v>
      </c>
      <c r="AK77" s="90" t="str">
        <f t="shared" si="20"/>
        <v>Pendiente</v>
      </c>
    </row>
    <row r="78" spans="1:37" ht="15" customHeight="1" x14ac:dyDescent="0.35">
      <c r="A78" s="27" t="s">
        <v>129</v>
      </c>
      <c r="B78" s="27" t="s">
        <v>130</v>
      </c>
      <c r="C78" s="10" t="s">
        <v>366</v>
      </c>
      <c r="D78" s="89" t="s">
        <v>131</v>
      </c>
      <c r="E78" s="89" t="s">
        <v>45</v>
      </c>
      <c r="F78" s="89" t="s">
        <v>164</v>
      </c>
      <c r="G78" s="89" t="s">
        <v>133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41</v>
      </c>
      <c r="M78" s="27" t="s">
        <v>134</v>
      </c>
      <c r="N78" s="33">
        <v>367</v>
      </c>
      <c r="O78" s="12">
        <v>46162</v>
      </c>
      <c r="P78" s="27" t="s">
        <v>165</v>
      </c>
      <c r="Q78" s="17" t="s">
        <v>44</v>
      </c>
      <c r="R78" s="17" t="s">
        <v>45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v>0</v>
      </c>
      <c r="AJ78" s="94">
        <v>0</v>
      </c>
      <c r="AK78" s="90" t="s">
        <v>45</v>
      </c>
    </row>
    <row r="79" spans="1:37" ht="15" hidden="1" customHeight="1" x14ac:dyDescent="0.35">
      <c r="A79" s="10" t="s">
        <v>36</v>
      </c>
      <c r="B79" s="10" t="s">
        <v>37</v>
      </c>
      <c r="C79" s="10" t="s">
        <v>38</v>
      </c>
      <c r="D79" s="89">
        <v>0</v>
      </c>
      <c r="E79" s="89">
        <v>32</v>
      </c>
      <c r="F79" s="89" t="s">
        <v>39</v>
      </c>
      <c r="G79" s="89" t="s">
        <v>40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41</v>
      </c>
      <c r="M79" s="10" t="s">
        <v>42</v>
      </c>
      <c r="N79" s="11">
        <v>2024</v>
      </c>
      <c r="O79" s="12">
        <v>46142</v>
      </c>
      <c r="P79" s="10" t="s">
        <v>166</v>
      </c>
      <c r="Q79" s="10" t="s">
        <v>44</v>
      </c>
      <c r="R79" s="10" t="s">
        <v>45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 x14ac:dyDescent="0.35">
      <c r="A80" s="10" t="s">
        <v>36</v>
      </c>
      <c r="B80" s="10" t="s">
        <v>37</v>
      </c>
      <c r="C80" s="10" t="s">
        <v>38</v>
      </c>
      <c r="D80" s="89">
        <v>0</v>
      </c>
      <c r="E80" s="89">
        <v>32</v>
      </c>
      <c r="F80" s="89" t="s">
        <v>46</v>
      </c>
      <c r="G80" s="89" t="s">
        <v>47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41</v>
      </c>
      <c r="M80" s="10" t="s">
        <v>42</v>
      </c>
      <c r="N80" s="11">
        <v>2026</v>
      </c>
      <c r="O80" s="12">
        <v>46142</v>
      </c>
      <c r="P80" s="10" t="s">
        <v>167</v>
      </c>
      <c r="Q80" s="10" t="s">
        <v>44</v>
      </c>
      <c r="R80" s="10" t="s">
        <v>45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 x14ac:dyDescent="0.35">
      <c r="A81" s="24" t="s">
        <v>65</v>
      </c>
      <c r="B81" s="24" t="s">
        <v>60</v>
      </c>
      <c r="C81" s="24" t="s">
        <v>66</v>
      </c>
      <c r="D81" s="89" t="s">
        <v>67</v>
      </c>
      <c r="E81" s="89">
        <v>9</v>
      </c>
      <c r="F81" s="89" t="s">
        <v>39</v>
      </c>
      <c r="G81" s="89" t="s">
        <v>40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41</v>
      </c>
      <c r="M81" s="24" t="s">
        <v>63</v>
      </c>
      <c r="N81" s="25">
        <v>2582</v>
      </c>
      <c r="O81" s="12">
        <v>46076</v>
      </c>
      <c r="P81" s="24" t="s">
        <v>168</v>
      </c>
      <c r="Q81" s="24" t="s">
        <v>44</v>
      </c>
      <c r="R81" s="24" t="s">
        <v>45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 x14ac:dyDescent="0.35">
      <c r="A82" s="10" t="s">
        <v>65</v>
      </c>
      <c r="B82" s="10" t="s">
        <v>60</v>
      </c>
      <c r="C82" s="10" t="s">
        <v>66</v>
      </c>
      <c r="D82" s="89" t="s">
        <v>67</v>
      </c>
      <c r="E82" s="89">
        <v>9</v>
      </c>
      <c r="F82" s="89" t="s">
        <v>70</v>
      </c>
      <c r="G82" s="89" t="s">
        <v>47</v>
      </c>
      <c r="H82" s="92">
        <v>46023</v>
      </c>
      <c r="I82" s="103"/>
      <c r="J82" s="94">
        <v>24692103.82</v>
      </c>
      <c r="K82" s="94">
        <v>24692103.82</v>
      </c>
      <c r="L82" s="89" t="s">
        <v>41</v>
      </c>
      <c r="M82" s="10" t="s">
        <v>63</v>
      </c>
      <c r="N82" s="11">
        <v>2583</v>
      </c>
      <c r="O82" s="12">
        <v>46076</v>
      </c>
      <c r="P82" s="10" t="s">
        <v>169</v>
      </c>
      <c r="Q82" s="10" t="s">
        <v>44</v>
      </c>
      <c r="R82" s="10" t="s">
        <v>45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 x14ac:dyDescent="0.35">
      <c r="A83" s="10" t="s">
        <v>78</v>
      </c>
      <c r="B83" s="14" t="s">
        <v>79</v>
      </c>
      <c r="C83" s="10" t="s">
        <v>80</v>
      </c>
      <c r="D83" s="89" t="s">
        <v>152</v>
      </c>
      <c r="E83" s="89">
        <v>2</v>
      </c>
      <c r="F83" s="89" t="s">
        <v>153</v>
      </c>
      <c r="G83" s="89" t="s">
        <v>40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41</v>
      </c>
      <c r="M83" s="10" t="s">
        <v>63</v>
      </c>
      <c r="N83" s="11">
        <v>2584</v>
      </c>
      <c r="O83" s="12">
        <v>46076</v>
      </c>
      <c r="P83" s="10" t="s">
        <v>170</v>
      </c>
      <c r="Q83" s="10" t="s">
        <v>44</v>
      </c>
      <c r="R83" s="10" t="s">
        <v>45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 x14ac:dyDescent="0.35">
      <c r="A84" s="10" t="s">
        <v>78</v>
      </c>
      <c r="B84" s="14" t="s">
        <v>79</v>
      </c>
      <c r="C84" s="10" t="s">
        <v>80</v>
      </c>
      <c r="D84" s="89" t="s">
        <v>152</v>
      </c>
      <c r="E84" s="89">
        <v>2</v>
      </c>
      <c r="F84" s="89" t="s">
        <v>171</v>
      </c>
      <c r="G84" s="89" t="s">
        <v>47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41</v>
      </c>
      <c r="M84" s="10" t="s">
        <v>63</v>
      </c>
      <c r="N84" s="11">
        <v>2585</v>
      </c>
      <c r="O84" s="12">
        <v>46076</v>
      </c>
      <c r="P84" s="10" t="s">
        <v>172</v>
      </c>
      <c r="Q84" s="10" t="s">
        <v>44</v>
      </c>
      <c r="R84" s="10" t="s">
        <v>45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 x14ac:dyDescent="0.35">
      <c r="A85" s="10" t="s">
        <v>78</v>
      </c>
      <c r="B85" s="14" t="s">
        <v>79</v>
      </c>
      <c r="C85" s="10" t="s">
        <v>80</v>
      </c>
      <c r="D85" s="89" t="s">
        <v>157</v>
      </c>
      <c r="E85" s="89">
        <v>2</v>
      </c>
      <c r="F85" s="89" t="s">
        <v>158</v>
      </c>
      <c r="G85" s="89" t="s">
        <v>40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41</v>
      </c>
      <c r="M85" s="10" t="s">
        <v>63</v>
      </c>
      <c r="N85" s="11">
        <v>2586</v>
      </c>
      <c r="O85" s="12">
        <v>46076</v>
      </c>
      <c r="P85" s="10" t="s">
        <v>173</v>
      </c>
      <c r="Q85" s="10" t="s">
        <v>44</v>
      </c>
      <c r="R85" s="10" t="s">
        <v>45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 x14ac:dyDescent="0.35">
      <c r="A86" s="10" t="s">
        <v>65</v>
      </c>
      <c r="B86" s="10" t="s">
        <v>60</v>
      </c>
      <c r="C86" s="10" t="s">
        <v>66</v>
      </c>
      <c r="D86" s="89" t="s">
        <v>174</v>
      </c>
      <c r="E86" s="89">
        <v>9</v>
      </c>
      <c r="F86" s="89" t="s">
        <v>175</v>
      </c>
      <c r="G86" s="89" t="s">
        <v>40</v>
      </c>
      <c r="H86" s="92">
        <v>46023</v>
      </c>
      <c r="I86" s="103"/>
      <c r="J86" s="94">
        <v>13950000</v>
      </c>
      <c r="K86" s="94">
        <v>13950000</v>
      </c>
      <c r="L86" s="89" t="s">
        <v>41</v>
      </c>
      <c r="M86" s="10" t="s">
        <v>63</v>
      </c>
      <c r="N86" s="11">
        <v>2587</v>
      </c>
      <c r="O86" s="12">
        <v>46076</v>
      </c>
      <c r="P86" s="10" t="s">
        <v>176</v>
      </c>
      <c r="Q86" s="10" t="s">
        <v>44</v>
      </c>
      <c r="R86" s="10" t="s">
        <v>45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 x14ac:dyDescent="0.35">
      <c r="A87" s="10" t="s">
        <v>78</v>
      </c>
      <c r="B87" s="14" t="s">
        <v>79</v>
      </c>
      <c r="C87" s="10" t="s">
        <v>80</v>
      </c>
      <c r="D87" s="89" t="s">
        <v>106</v>
      </c>
      <c r="E87" s="89">
        <v>4</v>
      </c>
      <c r="F87" s="89" t="s">
        <v>107</v>
      </c>
      <c r="G87" s="89" t="s">
        <v>40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41</v>
      </c>
      <c r="M87" s="10" t="s">
        <v>63</v>
      </c>
      <c r="N87" s="11">
        <v>2588</v>
      </c>
      <c r="O87" s="12">
        <v>46098</v>
      </c>
      <c r="P87" s="10" t="s">
        <v>177</v>
      </c>
      <c r="Q87" s="10" t="s">
        <v>44</v>
      </c>
      <c r="R87" s="10" t="s">
        <v>45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 x14ac:dyDescent="0.35">
      <c r="A88" s="10" t="s">
        <v>78</v>
      </c>
      <c r="B88" s="14" t="s">
        <v>79</v>
      </c>
      <c r="C88" s="10" t="s">
        <v>80</v>
      </c>
      <c r="D88" s="89" t="s">
        <v>109</v>
      </c>
      <c r="E88" s="89">
        <v>4</v>
      </c>
      <c r="F88" s="89" t="s">
        <v>110</v>
      </c>
      <c r="G88" s="89" t="s">
        <v>47</v>
      </c>
      <c r="H88" s="92">
        <v>46023</v>
      </c>
      <c r="I88" s="103"/>
      <c r="J88" s="94">
        <v>6664100.79</v>
      </c>
      <c r="K88" s="94">
        <v>6664100.79</v>
      </c>
      <c r="L88" s="89" t="s">
        <v>41</v>
      </c>
      <c r="M88" s="10" t="s">
        <v>63</v>
      </c>
      <c r="N88" s="11">
        <v>2589</v>
      </c>
      <c r="O88" s="12">
        <v>46098</v>
      </c>
      <c r="P88" s="10" t="s">
        <v>178</v>
      </c>
      <c r="Q88" s="10" t="s">
        <v>44</v>
      </c>
      <c r="R88" s="10" t="s">
        <v>45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 x14ac:dyDescent="0.35">
      <c r="A89" s="32" t="s">
        <v>114</v>
      </c>
      <c r="B89" s="14" t="s">
        <v>79</v>
      </c>
      <c r="C89" s="32" t="s">
        <v>115</v>
      </c>
      <c r="D89" s="32" t="s">
        <v>115</v>
      </c>
      <c r="E89" s="89">
        <v>3</v>
      </c>
      <c r="F89" s="89" t="s">
        <v>39</v>
      </c>
      <c r="G89" s="89" t="s">
        <v>40</v>
      </c>
      <c r="H89" s="92">
        <v>46023</v>
      </c>
      <c r="I89" s="103"/>
      <c r="J89" s="94">
        <v>102763620.77</v>
      </c>
      <c r="K89" s="94">
        <v>102763620.77</v>
      </c>
      <c r="L89" s="89" t="s">
        <v>41</v>
      </c>
      <c r="M89" s="32" t="s">
        <v>63</v>
      </c>
      <c r="N89" s="33">
        <v>2592</v>
      </c>
      <c r="O89" s="12">
        <v>46108</v>
      </c>
      <c r="P89" s="32" t="s">
        <v>179</v>
      </c>
      <c r="Q89" s="17" t="s">
        <v>44</v>
      </c>
      <c r="R89" s="17" t="s">
        <v>45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 x14ac:dyDescent="0.35">
      <c r="A90" s="32" t="s">
        <v>114</v>
      </c>
      <c r="B90" s="14" t="s">
        <v>79</v>
      </c>
      <c r="C90" s="32" t="s">
        <v>115</v>
      </c>
      <c r="D90" s="32" t="s">
        <v>115</v>
      </c>
      <c r="E90" s="89">
        <v>3</v>
      </c>
      <c r="F90" s="89" t="s">
        <v>70</v>
      </c>
      <c r="G90" s="89" t="s">
        <v>47</v>
      </c>
      <c r="H90" s="92">
        <v>46023</v>
      </c>
      <c r="I90" s="103"/>
      <c r="J90" s="94">
        <v>12306543.08</v>
      </c>
      <c r="K90" s="94">
        <v>12306543.08</v>
      </c>
      <c r="L90" s="89" t="s">
        <v>41</v>
      </c>
      <c r="M90" s="32" t="s">
        <v>63</v>
      </c>
      <c r="N90" s="33">
        <v>2594</v>
      </c>
      <c r="O90" s="12">
        <v>46108</v>
      </c>
      <c r="P90" s="32" t="s">
        <v>180</v>
      </c>
      <c r="Q90" s="17" t="s">
        <v>44</v>
      </c>
      <c r="R90" s="17" t="s">
        <v>45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 x14ac:dyDescent="0.35">
      <c r="A91" s="27" t="s">
        <v>84</v>
      </c>
      <c r="B91" s="14" t="s">
        <v>79</v>
      </c>
      <c r="C91" s="27" t="s">
        <v>85</v>
      </c>
      <c r="D91" s="89" t="s">
        <v>102</v>
      </c>
      <c r="E91" s="89">
        <v>5</v>
      </c>
      <c r="F91" s="89" t="s">
        <v>103</v>
      </c>
      <c r="G91" s="89" t="s">
        <v>40</v>
      </c>
      <c r="H91" s="92">
        <v>46023</v>
      </c>
      <c r="I91" s="103"/>
      <c r="J91" s="94">
        <v>131335902.2</v>
      </c>
      <c r="K91" s="94">
        <v>131335902.2</v>
      </c>
      <c r="L91" s="89" t="s">
        <v>41</v>
      </c>
      <c r="M91" s="27" t="s">
        <v>63</v>
      </c>
      <c r="N91" s="33">
        <v>2595</v>
      </c>
      <c r="O91" s="12">
        <v>46132</v>
      </c>
      <c r="P91" s="27" t="s">
        <v>181</v>
      </c>
      <c r="Q91" s="17" t="s">
        <v>44</v>
      </c>
      <c r="R91" s="17" t="s">
        <v>45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 x14ac:dyDescent="0.35">
      <c r="A92" s="27" t="s">
        <v>84</v>
      </c>
      <c r="B92" s="14" t="s">
        <v>79</v>
      </c>
      <c r="C92" s="27" t="s">
        <v>85</v>
      </c>
      <c r="D92" s="89" t="s">
        <v>119</v>
      </c>
      <c r="E92" s="89">
        <v>5</v>
      </c>
      <c r="F92" s="89" t="s">
        <v>120</v>
      </c>
      <c r="G92" s="89" t="s">
        <v>47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41</v>
      </c>
      <c r="M92" s="27" t="s">
        <v>63</v>
      </c>
      <c r="N92" s="33">
        <v>2596</v>
      </c>
      <c r="O92" s="12">
        <v>46132</v>
      </c>
      <c r="P92" s="27" t="s">
        <v>182</v>
      </c>
      <c r="Q92" s="17" t="s">
        <v>44</v>
      </c>
      <c r="R92" s="17" t="s">
        <v>45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 x14ac:dyDescent="0.35">
      <c r="A93" s="10" t="s">
        <v>78</v>
      </c>
      <c r="B93" s="14" t="s">
        <v>79</v>
      </c>
      <c r="C93" s="10" t="s">
        <v>80</v>
      </c>
      <c r="D93" s="89" t="s">
        <v>183</v>
      </c>
      <c r="E93" s="89">
        <v>4</v>
      </c>
      <c r="F93" s="89" t="s">
        <v>184</v>
      </c>
      <c r="G93" s="89" t="s">
        <v>40</v>
      </c>
      <c r="H93" s="92">
        <v>46023</v>
      </c>
      <c r="I93" s="103"/>
      <c r="J93" s="94">
        <v>10445517.48</v>
      </c>
      <c r="K93" s="94">
        <v>10445517.48</v>
      </c>
      <c r="L93" s="89" t="s">
        <v>41</v>
      </c>
      <c r="M93" s="10" t="s">
        <v>63</v>
      </c>
      <c r="N93" s="11">
        <v>2604</v>
      </c>
      <c r="O93" s="12">
        <v>46133</v>
      </c>
      <c r="P93" s="10" t="s">
        <v>177</v>
      </c>
      <c r="Q93" s="10" t="s">
        <v>44</v>
      </c>
      <c r="R93" s="10" t="s">
        <v>45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customHeight="1" x14ac:dyDescent="0.35">
      <c r="A94" s="10" t="s">
        <v>129</v>
      </c>
      <c r="B94" s="14" t="s">
        <v>130</v>
      </c>
      <c r="C94" s="10" t="s">
        <v>366</v>
      </c>
      <c r="D94" s="89" t="s">
        <v>131</v>
      </c>
      <c r="E94" s="89">
        <v>2</v>
      </c>
      <c r="F94" s="89" t="s">
        <v>185</v>
      </c>
      <c r="G94" s="89" t="s">
        <v>40</v>
      </c>
      <c r="H94" s="92">
        <v>46023</v>
      </c>
      <c r="I94" s="94">
        <v>1472030553.01</v>
      </c>
      <c r="J94" s="94">
        <v>1472030553.01</v>
      </c>
      <c r="K94" s="94">
        <v>0</v>
      </c>
      <c r="L94" s="89" t="s">
        <v>41</v>
      </c>
      <c r="M94" s="10" t="s">
        <v>63</v>
      </c>
      <c r="N94" s="33">
        <v>2616</v>
      </c>
      <c r="O94" s="12">
        <v>46162</v>
      </c>
      <c r="P94" s="10" t="s">
        <v>186</v>
      </c>
      <c r="Q94" s="10" t="s">
        <v>44</v>
      </c>
      <c r="R94" s="10" t="s">
        <v>45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/>
      <c r="AC94" s="94"/>
      <c r="AD94" s="10"/>
      <c r="AE94" s="94"/>
      <c r="AF94" s="10"/>
      <c r="AG94" s="94"/>
      <c r="AH94" s="94"/>
      <c r="AI94" s="94"/>
      <c r="AJ94" s="94">
        <v>0</v>
      </c>
      <c r="AK94" s="90" t="str">
        <f t="shared" si="30"/>
        <v>Pendiente</v>
      </c>
    </row>
    <row r="95" spans="1:37" ht="15" customHeight="1" x14ac:dyDescent="0.35">
      <c r="A95" s="27" t="s">
        <v>129</v>
      </c>
      <c r="B95" s="27" t="s">
        <v>130</v>
      </c>
      <c r="C95" s="10" t="s">
        <v>366</v>
      </c>
      <c r="D95" s="89" t="s">
        <v>131</v>
      </c>
      <c r="E95" s="89">
        <v>2</v>
      </c>
      <c r="F95" s="89" t="s">
        <v>187</v>
      </c>
      <c r="G95" s="89" t="s">
        <v>47</v>
      </c>
      <c r="H95" s="92">
        <v>46023</v>
      </c>
      <c r="I95" s="94">
        <v>72697073.409999996</v>
      </c>
      <c r="J95" s="94">
        <v>72697073.409999996</v>
      </c>
      <c r="K95" s="94">
        <v>0</v>
      </c>
      <c r="L95" s="89" t="s">
        <v>41</v>
      </c>
      <c r="M95" s="27" t="s">
        <v>63</v>
      </c>
      <c r="N95" s="33">
        <v>2617</v>
      </c>
      <c r="O95" s="12">
        <v>46162</v>
      </c>
      <c r="P95" s="27" t="s">
        <v>188</v>
      </c>
      <c r="Q95" s="17" t="s">
        <v>44</v>
      </c>
      <c r="R95" s="17" t="s">
        <v>45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/>
      <c r="AC95" s="94"/>
      <c r="AD95" s="98"/>
      <c r="AE95" s="94"/>
      <c r="AF95" s="27"/>
      <c r="AG95" s="94"/>
      <c r="AH95" s="94"/>
      <c r="AI95" s="94"/>
      <c r="AJ95" s="94"/>
      <c r="AK95" s="90" t="str">
        <f t="shared" si="30"/>
        <v>Pendiente</v>
      </c>
    </row>
    <row r="96" spans="1:37" ht="15" customHeight="1" x14ac:dyDescent="0.35">
      <c r="A96" s="10" t="s">
        <v>129</v>
      </c>
      <c r="B96" s="14" t="s">
        <v>130</v>
      </c>
      <c r="C96" s="10" t="s">
        <v>366</v>
      </c>
      <c r="D96" s="89" t="s">
        <v>131</v>
      </c>
      <c r="E96" s="89" t="s">
        <v>45</v>
      </c>
      <c r="F96" s="89" t="s">
        <v>189</v>
      </c>
      <c r="G96" s="89" t="s">
        <v>133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41</v>
      </c>
      <c r="M96" s="10" t="s">
        <v>134</v>
      </c>
      <c r="N96" s="33">
        <v>368</v>
      </c>
      <c r="O96" s="12">
        <v>46162</v>
      </c>
      <c r="P96" s="10" t="s">
        <v>190</v>
      </c>
      <c r="Q96" s="10" t="s">
        <v>44</v>
      </c>
      <c r="R96" s="10" t="s">
        <v>45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45</v>
      </c>
    </row>
    <row r="97" spans="1:37" ht="15" hidden="1" customHeight="1" x14ac:dyDescent="0.35">
      <c r="A97" s="10" t="s">
        <v>36</v>
      </c>
      <c r="B97" s="10" t="s">
        <v>37</v>
      </c>
      <c r="C97" s="10" t="s">
        <v>38</v>
      </c>
      <c r="D97" s="89">
        <v>0</v>
      </c>
      <c r="E97" s="89">
        <v>33</v>
      </c>
      <c r="F97" s="89" t="s">
        <v>39</v>
      </c>
      <c r="G97" s="89" t="s">
        <v>40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41</v>
      </c>
      <c r="M97" s="10" t="s">
        <v>42</v>
      </c>
      <c r="N97" s="11">
        <v>2015</v>
      </c>
      <c r="O97" s="12">
        <v>46098</v>
      </c>
      <c r="P97" s="10" t="s">
        <v>191</v>
      </c>
      <c r="Q97" s="7" t="s">
        <v>192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4">+AC97+AE97+AG97+AH97</f>
        <v>0</v>
      </c>
      <c r="AJ97" s="94">
        <f t="shared" ref="AJ97:AJ108" si="35">+AA97-AI97</f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 x14ac:dyDescent="0.35">
      <c r="A98" s="10" t="s">
        <v>36</v>
      </c>
      <c r="B98" s="10" t="s">
        <v>37</v>
      </c>
      <c r="C98" s="10" t="s">
        <v>38</v>
      </c>
      <c r="D98" s="89">
        <v>0</v>
      </c>
      <c r="E98" s="89">
        <v>33</v>
      </c>
      <c r="F98" s="89" t="s">
        <v>193</v>
      </c>
      <c r="G98" s="89" t="s">
        <v>47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41</v>
      </c>
      <c r="M98" s="10" t="s">
        <v>42</v>
      </c>
      <c r="N98" s="11">
        <v>2017</v>
      </c>
      <c r="O98" s="12">
        <v>46098</v>
      </c>
      <c r="P98" s="10" t="s">
        <v>194</v>
      </c>
      <c r="Q98" s="10" t="s">
        <v>44</v>
      </c>
      <c r="R98" s="10" t="s">
        <v>45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4"/>
        <v>0</v>
      </c>
      <c r="AJ98" s="94">
        <f t="shared" si="35"/>
        <v>6266255.6299999999</v>
      </c>
      <c r="AK98" s="90" t="str">
        <f t="shared" si="36"/>
        <v>Pendiente</v>
      </c>
    </row>
    <row r="99" spans="1:37" ht="15" hidden="1" customHeight="1" x14ac:dyDescent="0.35">
      <c r="A99" s="10" t="s">
        <v>36</v>
      </c>
      <c r="B99" s="10" t="s">
        <v>37</v>
      </c>
      <c r="C99" s="10" t="s">
        <v>38</v>
      </c>
      <c r="D99" s="89">
        <v>0</v>
      </c>
      <c r="E99" s="89">
        <v>33</v>
      </c>
      <c r="F99" s="89" t="s">
        <v>39</v>
      </c>
      <c r="G99" s="89" t="s">
        <v>40</v>
      </c>
      <c r="H99" s="92">
        <v>46054</v>
      </c>
      <c r="I99" s="103"/>
      <c r="J99" s="94">
        <v>188131.02</v>
      </c>
      <c r="K99" s="94">
        <v>188131.02</v>
      </c>
      <c r="L99" s="89" t="s">
        <v>41</v>
      </c>
      <c r="M99" s="10" t="s">
        <v>42</v>
      </c>
      <c r="N99" s="11">
        <v>2027</v>
      </c>
      <c r="O99" s="12">
        <v>46157</v>
      </c>
      <c r="P99" s="10" t="s">
        <v>195</v>
      </c>
      <c r="Q99" s="10" t="s">
        <v>44</v>
      </c>
      <c r="R99" s="10" t="s">
        <v>45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4"/>
        <v>0</v>
      </c>
      <c r="AJ99" s="94">
        <f t="shared" si="35"/>
        <v>188131.02</v>
      </c>
      <c r="AK99" s="90" t="str">
        <f t="shared" si="36"/>
        <v>Pendiente</v>
      </c>
    </row>
    <row r="100" spans="1:37" ht="15" hidden="1" customHeight="1" x14ac:dyDescent="0.35">
      <c r="A100" s="10" t="s">
        <v>36</v>
      </c>
      <c r="B100" s="10" t="s">
        <v>37</v>
      </c>
      <c r="C100" s="10" t="s">
        <v>38</v>
      </c>
      <c r="D100" s="89">
        <v>0</v>
      </c>
      <c r="E100" s="89">
        <v>33</v>
      </c>
      <c r="F100" s="89" t="s">
        <v>46</v>
      </c>
      <c r="G100" s="89" t="s">
        <v>47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41</v>
      </c>
      <c r="M100" s="10" t="s">
        <v>42</v>
      </c>
      <c r="N100" s="11">
        <v>2028</v>
      </c>
      <c r="O100" s="12">
        <v>46157</v>
      </c>
      <c r="P100" s="10" t="s">
        <v>196</v>
      </c>
      <c r="Q100" s="10" t="s">
        <v>44</v>
      </c>
      <c r="R100" s="10" t="s">
        <v>45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4"/>
        <v>0</v>
      </c>
      <c r="AJ100" s="94">
        <f t="shared" si="35"/>
        <v>6440924.0700000003</v>
      </c>
      <c r="AK100" s="90" t="str">
        <f t="shared" si="36"/>
        <v>Pendiente</v>
      </c>
    </row>
    <row r="101" spans="1:37" ht="15" hidden="1" customHeight="1" x14ac:dyDescent="0.35">
      <c r="A101" s="32" t="s">
        <v>114</v>
      </c>
      <c r="B101" s="14" t="s">
        <v>79</v>
      </c>
      <c r="C101" s="32" t="s">
        <v>115</v>
      </c>
      <c r="D101" s="32" t="s">
        <v>115</v>
      </c>
      <c r="E101" s="89">
        <v>4</v>
      </c>
      <c r="F101" s="89" t="s">
        <v>39</v>
      </c>
      <c r="G101" s="89" t="s">
        <v>40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41</v>
      </c>
      <c r="M101" s="32" t="s">
        <v>63</v>
      </c>
      <c r="N101" s="33">
        <v>2590</v>
      </c>
      <c r="O101" s="12">
        <v>46108</v>
      </c>
      <c r="P101" s="32" t="s">
        <v>197</v>
      </c>
      <c r="Q101" s="17" t="s">
        <v>44</v>
      </c>
      <c r="R101" s="17" t="s">
        <v>45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4"/>
        <v>5786502.8078000005</v>
      </c>
      <c r="AJ101" s="94">
        <f t="shared" si="35"/>
        <v>0</v>
      </c>
      <c r="AK101" s="90">
        <f t="shared" si="36"/>
        <v>13</v>
      </c>
    </row>
    <row r="102" spans="1:37" ht="15" hidden="1" customHeight="1" x14ac:dyDescent="0.35">
      <c r="A102" s="32" t="s">
        <v>114</v>
      </c>
      <c r="B102" s="14" t="s">
        <v>79</v>
      </c>
      <c r="C102" s="32" t="s">
        <v>115</v>
      </c>
      <c r="D102" s="32" t="s">
        <v>115</v>
      </c>
      <c r="E102" s="89">
        <v>4</v>
      </c>
      <c r="F102" s="89" t="s">
        <v>70</v>
      </c>
      <c r="G102" s="89" t="s">
        <v>47</v>
      </c>
      <c r="H102" s="92">
        <v>46054</v>
      </c>
      <c r="I102" s="103"/>
      <c r="J102" s="94">
        <v>3243706.3</v>
      </c>
      <c r="K102" s="94">
        <v>3243706.3</v>
      </c>
      <c r="L102" s="89" t="s">
        <v>41</v>
      </c>
      <c r="M102" s="32" t="s">
        <v>63</v>
      </c>
      <c r="N102" s="33">
        <v>2591</v>
      </c>
      <c r="O102" s="12">
        <v>46108</v>
      </c>
      <c r="P102" s="32" t="s">
        <v>198</v>
      </c>
      <c r="Q102" s="17" t="s">
        <v>44</v>
      </c>
      <c r="R102" s="17" t="s">
        <v>45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4"/>
        <v>4103288.4694999997</v>
      </c>
      <c r="AJ102" s="94">
        <f t="shared" si="35"/>
        <v>0</v>
      </c>
      <c r="AK102" s="90">
        <f t="shared" si="36"/>
        <v>13</v>
      </c>
    </row>
    <row r="103" spans="1:37" ht="15" hidden="1" customHeight="1" x14ac:dyDescent="0.35">
      <c r="A103" s="27" t="s">
        <v>84</v>
      </c>
      <c r="B103" s="14" t="s">
        <v>79</v>
      </c>
      <c r="C103" s="27" t="s">
        <v>85</v>
      </c>
      <c r="D103" s="89" t="s">
        <v>119</v>
      </c>
      <c r="E103" s="89">
        <v>6</v>
      </c>
      <c r="F103" s="89" t="s">
        <v>120</v>
      </c>
      <c r="G103" s="89" t="s">
        <v>47</v>
      </c>
      <c r="H103" s="92">
        <v>46054</v>
      </c>
      <c r="I103" s="103"/>
      <c r="J103" s="94">
        <v>20970962.16</v>
      </c>
      <c r="K103" s="94">
        <v>20970962.16</v>
      </c>
      <c r="L103" s="89" t="s">
        <v>41</v>
      </c>
      <c r="M103" s="27" t="s">
        <v>63</v>
      </c>
      <c r="N103" s="33">
        <v>2598</v>
      </c>
      <c r="O103" s="12">
        <v>46132</v>
      </c>
      <c r="P103" s="27" t="s">
        <v>199</v>
      </c>
      <c r="Q103" s="17" t="s">
        <v>44</v>
      </c>
      <c r="R103" s="17" t="s">
        <v>45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4"/>
        <v>26528267.120000001</v>
      </c>
      <c r="AJ103" s="94">
        <f t="shared" si="35"/>
        <v>1.2400001287460327E-2</v>
      </c>
      <c r="AK103" s="90">
        <f t="shared" si="36"/>
        <v>9</v>
      </c>
    </row>
    <row r="104" spans="1:37" ht="15" hidden="1" customHeight="1" x14ac:dyDescent="0.35">
      <c r="A104" s="10" t="s">
        <v>65</v>
      </c>
      <c r="B104" s="10" t="s">
        <v>60</v>
      </c>
      <c r="C104" s="10" t="s">
        <v>66</v>
      </c>
      <c r="D104" s="89" t="s">
        <v>67</v>
      </c>
      <c r="E104" s="89">
        <v>9</v>
      </c>
      <c r="F104" s="89" t="s">
        <v>39</v>
      </c>
      <c r="G104" s="89" t="s">
        <v>40</v>
      </c>
      <c r="H104" s="92">
        <v>46054</v>
      </c>
      <c r="I104" s="103"/>
      <c r="J104" s="94">
        <v>1938001.14</v>
      </c>
      <c r="K104" s="94">
        <v>1938001.14</v>
      </c>
      <c r="L104" s="89" t="s">
        <v>41</v>
      </c>
      <c r="M104" s="10" t="s">
        <v>63</v>
      </c>
      <c r="N104" s="11">
        <v>2600</v>
      </c>
      <c r="O104" s="12">
        <v>46132</v>
      </c>
      <c r="P104" s="10" t="s">
        <v>200</v>
      </c>
      <c r="Q104" s="10" t="s">
        <v>44</v>
      </c>
      <c r="R104" s="10" t="s">
        <v>45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4"/>
        <v>2525215.48</v>
      </c>
      <c r="AJ104" s="94">
        <f t="shared" si="35"/>
        <v>5.4200002923607826E-3</v>
      </c>
      <c r="AK104" s="90">
        <f t="shared" si="36"/>
        <v>9</v>
      </c>
    </row>
    <row r="105" spans="1:37" ht="15" hidden="1" customHeight="1" x14ac:dyDescent="0.35">
      <c r="A105" s="10" t="s">
        <v>65</v>
      </c>
      <c r="B105" s="10" t="s">
        <v>60</v>
      </c>
      <c r="C105" s="10" t="s">
        <v>66</v>
      </c>
      <c r="D105" s="89" t="s">
        <v>67</v>
      </c>
      <c r="E105" s="89">
        <v>9</v>
      </c>
      <c r="F105" s="89" t="s">
        <v>70</v>
      </c>
      <c r="G105" s="89" t="s">
        <v>47</v>
      </c>
      <c r="H105" s="92">
        <v>46054</v>
      </c>
      <c r="I105" s="103"/>
      <c r="J105" s="94">
        <v>3529738.54</v>
      </c>
      <c r="K105" s="94">
        <v>3529738.54</v>
      </c>
      <c r="L105" s="89" t="s">
        <v>41</v>
      </c>
      <c r="M105" s="10" t="s">
        <v>63</v>
      </c>
      <c r="N105" s="11">
        <v>2601</v>
      </c>
      <c r="O105" s="12">
        <v>46132</v>
      </c>
      <c r="P105" s="10" t="s">
        <v>201</v>
      </c>
      <c r="Q105" s="10" t="s">
        <v>44</v>
      </c>
      <c r="R105" s="10" t="s">
        <v>45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4"/>
        <v>4599249.32</v>
      </c>
      <c r="AJ105" s="94">
        <f t="shared" si="35"/>
        <v>-2.380000427365303E-3</v>
      </c>
      <c r="AK105" s="90">
        <f t="shared" si="36"/>
        <v>9</v>
      </c>
    </row>
    <row r="106" spans="1:37" ht="15" hidden="1" customHeight="1" x14ac:dyDescent="0.35">
      <c r="A106" s="27" t="s">
        <v>84</v>
      </c>
      <c r="B106" s="14" t="s">
        <v>79</v>
      </c>
      <c r="C106" s="27" t="s">
        <v>85</v>
      </c>
      <c r="D106" s="89" t="s">
        <v>102</v>
      </c>
      <c r="E106" s="89">
        <v>6</v>
      </c>
      <c r="F106" s="89" t="s">
        <v>103</v>
      </c>
      <c r="G106" s="89" t="s">
        <v>40</v>
      </c>
      <c r="H106" s="92">
        <v>46054</v>
      </c>
      <c r="I106" s="103"/>
      <c r="J106" s="94">
        <v>29413596</v>
      </c>
      <c r="K106" s="94">
        <v>29413596</v>
      </c>
      <c r="L106" s="89" t="s">
        <v>41</v>
      </c>
      <c r="M106" s="27" t="s">
        <v>63</v>
      </c>
      <c r="N106" s="33">
        <v>2605</v>
      </c>
      <c r="O106" s="12">
        <v>46133</v>
      </c>
      <c r="P106" s="27" t="s">
        <v>202</v>
      </c>
      <c r="Q106" s="17" t="s">
        <v>44</v>
      </c>
      <c r="R106" s="17" t="s">
        <v>45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4"/>
        <v>37208198.939999998</v>
      </c>
      <c r="AJ106" s="94">
        <f t="shared" si="35"/>
        <v>0</v>
      </c>
      <c r="AK106" s="90">
        <f t="shared" si="36"/>
        <v>29</v>
      </c>
    </row>
    <row r="107" spans="1:37" ht="15" hidden="1" customHeight="1" x14ac:dyDescent="0.35">
      <c r="A107" s="10" t="s">
        <v>78</v>
      </c>
      <c r="B107" s="14" t="s">
        <v>79</v>
      </c>
      <c r="C107" s="10" t="s">
        <v>80</v>
      </c>
      <c r="D107" s="89" t="s">
        <v>81</v>
      </c>
      <c r="E107" s="89">
        <v>9</v>
      </c>
      <c r="F107" s="89" t="s">
        <v>82</v>
      </c>
      <c r="G107" s="89" t="s">
        <v>40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41</v>
      </c>
      <c r="M107" s="10" t="s">
        <v>63</v>
      </c>
      <c r="N107" s="11">
        <v>2606</v>
      </c>
      <c r="O107" s="12">
        <v>46133</v>
      </c>
      <c r="P107" s="10" t="s">
        <v>203</v>
      </c>
      <c r="Q107" s="10" t="s">
        <v>44</v>
      </c>
      <c r="R107" s="10" t="s">
        <v>45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4"/>
        <v>20248858.210000001</v>
      </c>
      <c r="AJ107" s="94">
        <f t="shared" si="35"/>
        <v>3.0999965965747833E-3</v>
      </c>
      <c r="AK107" s="90">
        <f t="shared" si="36"/>
        <v>29</v>
      </c>
    </row>
    <row r="108" spans="1:37" ht="15" hidden="1" customHeight="1" x14ac:dyDescent="0.35">
      <c r="A108" s="10" t="s">
        <v>78</v>
      </c>
      <c r="B108" s="14" t="s">
        <v>79</v>
      </c>
      <c r="C108" s="10" t="s">
        <v>80</v>
      </c>
      <c r="D108" s="89" t="s">
        <v>183</v>
      </c>
      <c r="E108" s="89">
        <v>3</v>
      </c>
      <c r="F108" s="89" t="s">
        <v>204</v>
      </c>
      <c r="G108" s="89" t="s">
        <v>40</v>
      </c>
      <c r="H108" s="92">
        <v>46054</v>
      </c>
      <c r="I108" s="103"/>
      <c r="J108" s="94">
        <v>5139223.49</v>
      </c>
      <c r="K108" s="94">
        <v>5139223.49</v>
      </c>
      <c r="L108" s="89" t="s">
        <v>41</v>
      </c>
      <c r="M108" s="10" t="s">
        <v>63</v>
      </c>
      <c r="N108" s="33">
        <v>2610</v>
      </c>
      <c r="O108" s="12">
        <v>46135</v>
      </c>
      <c r="P108" s="10" t="s">
        <v>205</v>
      </c>
      <c r="Q108" s="10" t="s">
        <v>44</v>
      </c>
      <c r="R108" s="10" t="s">
        <v>45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4"/>
        <v>6501117.71</v>
      </c>
      <c r="AJ108" s="94">
        <f t="shared" si="35"/>
        <v>4.8500001430511475E-3</v>
      </c>
      <c r="AK108" s="90">
        <f t="shared" si="36"/>
        <v>27</v>
      </c>
    </row>
    <row r="109" spans="1:37" ht="15" customHeight="1" x14ac:dyDescent="0.35">
      <c r="A109" s="10" t="s">
        <v>129</v>
      </c>
      <c r="B109" s="14" t="s">
        <v>130</v>
      </c>
      <c r="C109" s="10" t="s">
        <v>366</v>
      </c>
      <c r="D109" s="89" t="s">
        <v>131</v>
      </c>
      <c r="E109" s="89">
        <v>3</v>
      </c>
      <c r="F109" s="89" t="s">
        <v>206</v>
      </c>
      <c r="G109" s="89" t="s">
        <v>40</v>
      </c>
      <c r="H109" s="92">
        <v>46054</v>
      </c>
      <c r="I109" s="94">
        <v>809235480.83000004</v>
      </c>
      <c r="J109" s="94">
        <v>809235480.83000004</v>
      </c>
      <c r="K109" s="94">
        <v>0</v>
      </c>
      <c r="L109" s="89" t="s">
        <v>41</v>
      </c>
      <c r="M109" s="10" t="s">
        <v>63</v>
      </c>
      <c r="N109" s="33">
        <v>2618</v>
      </c>
      <c r="O109" s="12">
        <v>46162</v>
      </c>
      <c r="P109" s="10" t="s">
        <v>207</v>
      </c>
      <c r="Q109" s="10" t="s">
        <v>44</v>
      </c>
      <c r="R109" s="10" t="s">
        <v>45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/>
      <c r="AC109" s="94"/>
      <c r="AD109" s="10"/>
      <c r="AE109" s="94"/>
      <c r="AF109" s="10"/>
      <c r="AG109" s="94"/>
      <c r="AH109" s="94"/>
      <c r="AI109" s="94"/>
      <c r="AJ109" s="94"/>
      <c r="AK109" s="90" t="str">
        <f t="shared" si="36"/>
        <v>Pendiente</v>
      </c>
    </row>
    <row r="110" spans="1:37" x14ac:dyDescent="0.35">
      <c r="A110" s="27" t="s">
        <v>129</v>
      </c>
      <c r="B110" s="27" t="s">
        <v>130</v>
      </c>
      <c r="C110" s="10" t="s">
        <v>366</v>
      </c>
      <c r="D110" s="89" t="s">
        <v>131</v>
      </c>
      <c r="E110" s="89">
        <v>3</v>
      </c>
      <c r="F110" s="89" t="s">
        <v>208</v>
      </c>
      <c r="G110" s="89" t="s">
        <v>47</v>
      </c>
      <c r="H110" s="92">
        <v>46054</v>
      </c>
      <c r="I110" s="94">
        <v>50219657.579999998</v>
      </c>
      <c r="J110" s="94">
        <v>50219657.579999998</v>
      </c>
      <c r="K110" s="94">
        <v>0</v>
      </c>
      <c r="L110" s="89" t="s">
        <v>41</v>
      </c>
      <c r="M110" s="27" t="s">
        <v>63</v>
      </c>
      <c r="N110" s="33">
        <v>2619</v>
      </c>
      <c r="O110" s="12">
        <v>46162</v>
      </c>
      <c r="P110" s="27" t="s">
        <v>209</v>
      </c>
      <c r="Q110" s="17" t="s">
        <v>44</v>
      </c>
      <c r="R110" s="17" t="s">
        <v>45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/>
      <c r="AC110" s="94"/>
      <c r="AD110" s="98"/>
      <c r="AE110" s="94"/>
      <c r="AF110" s="27"/>
      <c r="AG110" s="94"/>
      <c r="AH110" s="94"/>
      <c r="AI110" s="94"/>
      <c r="AJ110" s="94"/>
      <c r="AK110" s="90" t="str">
        <f t="shared" si="36"/>
        <v>Pendiente</v>
      </c>
    </row>
    <row r="111" spans="1:37" hidden="1" x14ac:dyDescent="0.35">
      <c r="A111" s="10" t="s">
        <v>36</v>
      </c>
      <c r="B111" s="10" t="s">
        <v>37</v>
      </c>
      <c r="C111" s="10" t="s">
        <v>38</v>
      </c>
      <c r="D111" s="89">
        <v>0</v>
      </c>
      <c r="E111" s="89">
        <v>34</v>
      </c>
      <c r="F111" s="89" t="s">
        <v>39</v>
      </c>
      <c r="G111" s="89" t="s">
        <v>40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41</v>
      </c>
      <c r="M111" s="10" t="s">
        <v>42</v>
      </c>
      <c r="N111" s="11">
        <v>2018</v>
      </c>
      <c r="O111" s="12">
        <v>46122</v>
      </c>
      <c r="P111" s="10" t="s">
        <v>210</v>
      </c>
      <c r="Q111" s="10" t="s">
        <v>44</v>
      </c>
      <c r="R111" s="10" t="s">
        <v>45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 x14ac:dyDescent="0.35">
      <c r="A112" s="10" t="s">
        <v>36</v>
      </c>
      <c r="B112" s="10" t="s">
        <v>37</v>
      </c>
      <c r="C112" s="10" t="s">
        <v>38</v>
      </c>
      <c r="D112" s="89">
        <v>0</v>
      </c>
      <c r="E112" s="89">
        <v>34</v>
      </c>
      <c r="F112" s="89" t="s">
        <v>193</v>
      </c>
      <c r="G112" s="89" t="s">
        <v>47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41</v>
      </c>
      <c r="M112" s="10" t="s">
        <v>42</v>
      </c>
      <c r="N112" s="11">
        <v>2019</v>
      </c>
      <c r="O112" s="12">
        <v>46122</v>
      </c>
      <c r="P112" s="10" t="s">
        <v>211</v>
      </c>
      <c r="Q112" s="10" t="s">
        <v>44</v>
      </c>
      <c r="R112" s="10" t="s">
        <v>45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 x14ac:dyDescent="0.35">
      <c r="A113" s="10" t="s">
        <v>36</v>
      </c>
      <c r="B113" s="10" t="s">
        <v>37</v>
      </c>
      <c r="C113" s="10" t="s">
        <v>38</v>
      </c>
      <c r="D113" s="89">
        <v>0</v>
      </c>
      <c r="E113" s="89">
        <v>33</v>
      </c>
      <c r="F113" s="89" t="s">
        <v>46</v>
      </c>
      <c r="G113" s="89" t="s">
        <v>47</v>
      </c>
      <c r="H113" s="92">
        <v>46082</v>
      </c>
      <c r="I113" s="103"/>
      <c r="J113" s="94">
        <v>95946.87</v>
      </c>
      <c r="K113" s="94">
        <v>95946.87</v>
      </c>
      <c r="L113" s="89" t="s">
        <v>41</v>
      </c>
      <c r="M113" s="10" t="s">
        <v>42</v>
      </c>
      <c r="N113" s="11">
        <v>2021</v>
      </c>
      <c r="O113" s="12">
        <v>46122</v>
      </c>
      <c r="P113" s="10" t="s">
        <v>212</v>
      </c>
      <c r="Q113" s="10" t="s">
        <v>44</v>
      </c>
      <c r="R113" s="10" t="s">
        <v>45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 x14ac:dyDescent="0.35">
      <c r="A114" s="10" t="s">
        <v>36</v>
      </c>
      <c r="B114" s="10" t="s">
        <v>37</v>
      </c>
      <c r="C114" s="10" t="s">
        <v>38</v>
      </c>
      <c r="D114" s="89">
        <v>0</v>
      </c>
      <c r="E114" s="89">
        <v>34</v>
      </c>
      <c r="F114" s="89" t="s">
        <v>39</v>
      </c>
      <c r="G114" s="89" t="s">
        <v>40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41</v>
      </c>
      <c r="M114" s="10" t="s">
        <v>42</v>
      </c>
      <c r="N114" s="11">
        <v>2029</v>
      </c>
      <c r="O114" s="12">
        <v>46157</v>
      </c>
      <c r="P114" s="10" t="s">
        <v>213</v>
      </c>
      <c r="Q114" s="10" t="s">
        <v>44</v>
      </c>
      <c r="R114" s="10" t="s">
        <v>45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 x14ac:dyDescent="0.35">
      <c r="A115" s="10" t="s">
        <v>36</v>
      </c>
      <c r="B115" s="10" t="s">
        <v>37</v>
      </c>
      <c r="C115" s="10" t="s">
        <v>38</v>
      </c>
      <c r="D115" s="89">
        <v>0</v>
      </c>
      <c r="E115" s="89">
        <v>34</v>
      </c>
      <c r="F115" s="89" t="s">
        <v>46</v>
      </c>
      <c r="G115" s="89" t="s">
        <v>47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41</v>
      </c>
      <c r="M115" s="10" t="s">
        <v>42</v>
      </c>
      <c r="N115" s="11">
        <v>2030</v>
      </c>
      <c r="O115" s="12">
        <v>46157</v>
      </c>
      <c r="P115" s="10" t="s">
        <v>214</v>
      </c>
      <c r="Q115" s="7" t="s">
        <v>44</v>
      </c>
      <c r="R115" s="10" t="s">
        <v>45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 x14ac:dyDescent="0.35">
      <c r="A116" s="27" t="s">
        <v>84</v>
      </c>
      <c r="B116" s="14" t="s">
        <v>79</v>
      </c>
      <c r="C116" s="27" t="s">
        <v>85</v>
      </c>
      <c r="D116" s="89" t="s">
        <v>119</v>
      </c>
      <c r="E116" s="89">
        <v>7</v>
      </c>
      <c r="F116" s="89" t="s">
        <v>120</v>
      </c>
      <c r="G116" s="89" t="s">
        <v>47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41</v>
      </c>
      <c r="M116" s="27" t="s">
        <v>63</v>
      </c>
      <c r="N116" s="33">
        <v>2599</v>
      </c>
      <c r="O116" s="12">
        <v>46132</v>
      </c>
      <c r="P116" s="27" t="s">
        <v>215</v>
      </c>
      <c r="Q116" s="17" t="s">
        <v>44</v>
      </c>
      <c r="R116" s="17" t="s">
        <v>45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 x14ac:dyDescent="0.35">
      <c r="A117" s="10" t="s">
        <v>65</v>
      </c>
      <c r="B117" s="10" t="s">
        <v>60</v>
      </c>
      <c r="C117" s="10" t="s">
        <v>66</v>
      </c>
      <c r="D117" s="89" t="s">
        <v>67</v>
      </c>
      <c r="E117" s="89">
        <v>10</v>
      </c>
      <c r="F117" s="89" t="s">
        <v>39</v>
      </c>
      <c r="G117" s="89" t="s">
        <v>40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41</v>
      </c>
      <c r="M117" s="10" t="s">
        <v>63</v>
      </c>
      <c r="N117" s="11">
        <v>2602</v>
      </c>
      <c r="O117" s="12">
        <v>46132</v>
      </c>
      <c r="P117" s="10" t="s">
        <v>216</v>
      </c>
      <c r="Q117" s="10" t="s">
        <v>44</v>
      </c>
      <c r="R117" s="10" t="s">
        <v>45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 x14ac:dyDescent="0.35">
      <c r="A118" s="10" t="s">
        <v>65</v>
      </c>
      <c r="B118" s="10" t="s">
        <v>60</v>
      </c>
      <c r="C118" s="10" t="s">
        <v>66</v>
      </c>
      <c r="D118" s="89" t="s">
        <v>67</v>
      </c>
      <c r="E118" s="89">
        <v>10</v>
      </c>
      <c r="F118" s="89" t="s">
        <v>70</v>
      </c>
      <c r="G118" s="89" t="s">
        <v>47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41</v>
      </c>
      <c r="M118" s="10" t="s">
        <v>63</v>
      </c>
      <c r="N118" s="11">
        <v>2603</v>
      </c>
      <c r="O118" s="12">
        <v>46132</v>
      </c>
      <c r="P118" s="10" t="s">
        <v>217</v>
      </c>
      <c r="Q118" s="10" t="s">
        <v>44</v>
      </c>
      <c r="R118" s="10" t="s">
        <v>45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 x14ac:dyDescent="0.35">
      <c r="A119" s="10" t="s">
        <v>78</v>
      </c>
      <c r="B119" s="14" t="s">
        <v>79</v>
      </c>
      <c r="C119" s="10" t="s">
        <v>80</v>
      </c>
      <c r="D119" s="89" t="s">
        <v>81</v>
      </c>
      <c r="E119" s="89">
        <v>10</v>
      </c>
      <c r="F119" s="89" t="s">
        <v>82</v>
      </c>
      <c r="G119" s="89" t="s">
        <v>40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41</v>
      </c>
      <c r="M119" s="10" t="s">
        <v>63</v>
      </c>
      <c r="N119" s="33">
        <v>2607</v>
      </c>
      <c r="O119" s="12">
        <v>46133</v>
      </c>
      <c r="P119" s="10" t="s">
        <v>218</v>
      </c>
      <c r="Q119" s="10" t="s">
        <v>44</v>
      </c>
      <c r="R119" s="10" t="s">
        <v>45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 x14ac:dyDescent="0.35">
      <c r="A120" s="10" t="s">
        <v>78</v>
      </c>
      <c r="B120" s="14" t="s">
        <v>79</v>
      </c>
      <c r="C120" s="10" t="s">
        <v>80</v>
      </c>
      <c r="D120" s="89" t="s">
        <v>219</v>
      </c>
      <c r="E120" s="89">
        <v>1</v>
      </c>
      <c r="F120" s="89" t="s">
        <v>220</v>
      </c>
      <c r="G120" s="89" t="s">
        <v>40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41</v>
      </c>
      <c r="M120" s="10" t="s">
        <v>63</v>
      </c>
      <c r="N120" s="33">
        <v>2608</v>
      </c>
      <c r="O120" s="12">
        <v>46135</v>
      </c>
      <c r="P120" s="10" t="s">
        <v>221</v>
      </c>
      <c r="Q120" s="10" t="s">
        <v>44</v>
      </c>
      <c r="R120" s="10" t="s">
        <v>45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 x14ac:dyDescent="0.35">
      <c r="A121" s="10" t="s">
        <v>78</v>
      </c>
      <c r="B121" s="14" t="s">
        <v>79</v>
      </c>
      <c r="C121" s="10" t="s">
        <v>80</v>
      </c>
      <c r="D121" s="89" t="s">
        <v>222</v>
      </c>
      <c r="E121" s="89">
        <v>1</v>
      </c>
      <c r="F121" s="89" t="s">
        <v>223</v>
      </c>
      <c r="G121" s="89" t="s">
        <v>47</v>
      </c>
      <c r="H121" s="92">
        <v>46082</v>
      </c>
      <c r="I121" s="103"/>
      <c r="J121" s="94">
        <v>574369.53</v>
      </c>
      <c r="K121" s="94">
        <v>574369.53</v>
      </c>
      <c r="L121" s="89" t="s">
        <v>41</v>
      </c>
      <c r="M121" s="10" t="s">
        <v>63</v>
      </c>
      <c r="N121" s="33">
        <v>2609</v>
      </c>
      <c r="O121" s="12">
        <v>46135</v>
      </c>
      <c r="P121" s="10" t="s">
        <v>224</v>
      </c>
      <c r="Q121" s="10" t="s">
        <v>44</v>
      </c>
      <c r="R121" s="10" t="s">
        <v>45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 x14ac:dyDescent="0.35">
      <c r="A122" s="27" t="s">
        <v>84</v>
      </c>
      <c r="B122" s="14" t="s">
        <v>79</v>
      </c>
      <c r="C122" s="27" t="s">
        <v>85</v>
      </c>
      <c r="D122" s="89" t="s">
        <v>225</v>
      </c>
      <c r="E122" s="89">
        <v>1</v>
      </c>
      <c r="F122" s="89" t="s">
        <v>103</v>
      </c>
      <c r="G122" s="89" t="s">
        <v>40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41</v>
      </c>
      <c r="M122" s="27" t="s">
        <v>63</v>
      </c>
      <c r="N122" s="33">
        <v>2611</v>
      </c>
      <c r="O122" s="12">
        <v>46142</v>
      </c>
      <c r="P122" s="27" t="s">
        <v>226</v>
      </c>
      <c r="Q122" s="17" t="s">
        <v>44</v>
      </c>
      <c r="R122" s="17" t="s">
        <v>45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 x14ac:dyDescent="0.35">
      <c r="A123" s="10" t="s">
        <v>84</v>
      </c>
      <c r="B123" s="14" t="s">
        <v>79</v>
      </c>
      <c r="C123" s="10" t="s">
        <v>85</v>
      </c>
      <c r="D123" s="89" t="s">
        <v>225</v>
      </c>
      <c r="E123" s="89">
        <v>1</v>
      </c>
      <c r="F123" s="89" t="s">
        <v>120</v>
      </c>
      <c r="G123" s="89" t="s">
        <v>47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41</v>
      </c>
      <c r="M123" s="10" t="s">
        <v>63</v>
      </c>
      <c r="N123" s="33">
        <v>2612</v>
      </c>
      <c r="O123" s="12">
        <v>46142</v>
      </c>
      <c r="P123" s="10" t="s">
        <v>227</v>
      </c>
      <c r="Q123" s="10" t="s">
        <v>44</v>
      </c>
      <c r="R123" s="10" t="s">
        <v>45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customHeight="1" x14ac:dyDescent="0.35">
      <c r="A124" s="10" t="s">
        <v>129</v>
      </c>
      <c r="B124" s="14" t="s">
        <v>130</v>
      </c>
      <c r="C124" s="10" t="s">
        <v>366</v>
      </c>
      <c r="D124" s="89" t="s">
        <v>131</v>
      </c>
      <c r="E124" s="89">
        <v>4</v>
      </c>
      <c r="F124" s="89" t="s">
        <v>228</v>
      </c>
      <c r="G124" s="89" t="s">
        <v>40</v>
      </c>
      <c r="H124" s="92">
        <v>46082</v>
      </c>
      <c r="I124" s="94">
        <f>+J124-K124</f>
        <v>341686260.42999995</v>
      </c>
      <c r="J124" s="94">
        <v>740743917.02999997</v>
      </c>
      <c r="K124" s="94">
        <v>399057656.60000002</v>
      </c>
      <c r="L124" s="89" t="s">
        <v>41</v>
      </c>
      <c r="M124" s="10" t="s">
        <v>63</v>
      </c>
      <c r="N124" s="33">
        <v>2620</v>
      </c>
      <c r="O124" s="12">
        <v>46162</v>
      </c>
      <c r="P124" s="10" t="s">
        <v>229</v>
      </c>
      <c r="Q124" s="10" t="s">
        <v>44</v>
      </c>
      <c r="R124" s="10" t="s">
        <v>45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46164</v>
      </c>
      <c r="AC124" s="94">
        <v>398342459.29000002</v>
      </c>
      <c r="AD124" s="10"/>
      <c r="AE124" s="94"/>
      <c r="AF124" s="10"/>
      <c r="AG124" s="94"/>
      <c r="AH124" s="94"/>
      <c r="AI124" s="94">
        <f>+AC124</f>
        <v>398342459.29000002</v>
      </c>
      <c r="AJ124" s="94">
        <f>+AA124-AI124</f>
        <v>74540863.779999971</v>
      </c>
      <c r="AK124" s="90" t="s">
        <v>45</v>
      </c>
    </row>
    <row r="125" spans="1:37" ht="15" customHeight="1" x14ac:dyDescent="0.35">
      <c r="A125" s="27" t="s">
        <v>129</v>
      </c>
      <c r="B125" s="27" t="s">
        <v>130</v>
      </c>
      <c r="C125" s="10" t="s">
        <v>366</v>
      </c>
      <c r="D125" s="89" t="s">
        <v>131</v>
      </c>
      <c r="E125" s="89">
        <v>4</v>
      </c>
      <c r="F125" s="89" t="s">
        <v>230</v>
      </c>
      <c r="G125" s="89" t="s">
        <v>47</v>
      </c>
      <c r="H125" s="92">
        <v>46082</v>
      </c>
      <c r="I125" s="94">
        <v>26342887.75</v>
      </c>
      <c r="J125" s="94">
        <v>26342887.75</v>
      </c>
      <c r="K125" s="94">
        <v>0</v>
      </c>
      <c r="L125" s="89" t="s">
        <v>41</v>
      </c>
      <c r="M125" s="27" t="s">
        <v>63</v>
      </c>
      <c r="N125" s="33">
        <v>2621</v>
      </c>
      <c r="O125" s="12">
        <v>46162</v>
      </c>
      <c r="P125" s="27" t="s">
        <v>231</v>
      </c>
      <c r="Q125" s="17" t="s">
        <v>44</v>
      </c>
      <c r="R125" s="17" t="s">
        <v>45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/>
      <c r="AC125" s="94"/>
      <c r="AD125" s="98"/>
      <c r="AE125" s="94"/>
      <c r="AF125" s="27"/>
      <c r="AG125" s="94"/>
      <c r="AH125" s="94"/>
      <c r="AI125" s="94"/>
      <c r="AJ125" s="94"/>
      <c r="AK125" s="90" t="str">
        <f t="shared" si="36"/>
        <v>Pendiente</v>
      </c>
    </row>
    <row r="126" spans="1:37" ht="15" hidden="1" customHeight="1" x14ac:dyDescent="0.35">
      <c r="A126" s="10" t="s">
        <v>84</v>
      </c>
      <c r="B126" s="14" t="s">
        <v>79</v>
      </c>
      <c r="C126" s="10" t="s">
        <v>85</v>
      </c>
      <c r="D126" s="89" t="s">
        <v>232</v>
      </c>
      <c r="E126" s="89">
        <v>1</v>
      </c>
      <c r="F126" s="89" t="s">
        <v>120</v>
      </c>
      <c r="G126" s="89" t="s">
        <v>47</v>
      </c>
      <c r="H126" s="92">
        <v>46082</v>
      </c>
      <c r="I126" s="103"/>
      <c r="J126" s="94">
        <v>2872401.71</v>
      </c>
      <c r="K126" s="94">
        <v>2872401.71</v>
      </c>
      <c r="L126" s="89" t="s">
        <v>233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 x14ac:dyDescent="0.35">
      <c r="A127" s="27" t="s">
        <v>78</v>
      </c>
      <c r="B127" s="14" t="s">
        <v>79</v>
      </c>
      <c r="C127" s="27" t="s">
        <v>80</v>
      </c>
      <c r="D127" s="89" t="s">
        <v>183</v>
      </c>
      <c r="E127" s="89">
        <v>1</v>
      </c>
      <c r="F127" s="89" t="s">
        <v>234</v>
      </c>
      <c r="G127" s="89" t="s">
        <v>40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41</v>
      </c>
      <c r="M127" s="27" t="s">
        <v>63</v>
      </c>
      <c r="N127" s="33">
        <v>2613</v>
      </c>
      <c r="O127" s="12">
        <v>46150</v>
      </c>
      <c r="P127" s="27" t="s">
        <v>235</v>
      </c>
      <c r="Q127" s="17" t="s">
        <v>44</v>
      </c>
      <c r="R127" s="17" t="s">
        <v>45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 x14ac:dyDescent="0.35">
      <c r="A128" s="10" t="s">
        <v>65</v>
      </c>
      <c r="B128" s="10" t="s">
        <v>60</v>
      </c>
      <c r="C128" s="10" t="s">
        <v>66</v>
      </c>
      <c r="D128" s="89" t="s">
        <v>67</v>
      </c>
      <c r="E128" s="89">
        <v>11</v>
      </c>
      <c r="F128" s="89" t="s">
        <v>39</v>
      </c>
      <c r="G128" s="89" t="s">
        <v>39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233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 x14ac:dyDescent="0.35">
      <c r="A129" s="10" t="s">
        <v>65</v>
      </c>
      <c r="B129" s="10" t="s">
        <v>60</v>
      </c>
      <c r="C129" s="10" t="s">
        <v>66</v>
      </c>
      <c r="D129" s="89" t="s">
        <v>67</v>
      </c>
      <c r="E129" s="89">
        <v>11</v>
      </c>
      <c r="F129" s="89" t="s">
        <v>70</v>
      </c>
      <c r="G129" s="89" t="s">
        <v>47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233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 x14ac:dyDescent="0.35">
      <c r="A130" s="10" t="s">
        <v>84</v>
      </c>
      <c r="B130" s="14" t="s">
        <v>79</v>
      </c>
      <c r="C130" s="10" t="s">
        <v>85</v>
      </c>
      <c r="D130" s="89" t="s">
        <v>236</v>
      </c>
      <c r="E130" s="89">
        <v>1</v>
      </c>
      <c r="F130" s="89" t="s">
        <v>103</v>
      </c>
      <c r="G130" s="89" t="s">
        <v>39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233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 x14ac:dyDescent="0.35">
      <c r="A131" s="10" t="s">
        <v>84</v>
      </c>
      <c r="B131" s="14" t="s">
        <v>79</v>
      </c>
      <c r="C131" s="10" t="s">
        <v>85</v>
      </c>
      <c r="D131" s="89" t="s">
        <v>232</v>
      </c>
      <c r="E131" s="89">
        <v>1</v>
      </c>
      <c r="F131" s="89" t="s">
        <v>120</v>
      </c>
      <c r="G131" s="89" t="s">
        <v>47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233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 x14ac:dyDescent="0.35">
      <c r="A132" s="10" t="s">
        <v>84</v>
      </c>
      <c r="B132" s="14" t="s">
        <v>79</v>
      </c>
      <c r="C132" s="10" t="s">
        <v>85</v>
      </c>
      <c r="D132" s="89" t="s">
        <v>237</v>
      </c>
      <c r="E132" s="89">
        <v>2</v>
      </c>
      <c r="F132" s="89" t="s">
        <v>103</v>
      </c>
      <c r="G132" s="89" t="s">
        <v>39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233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 x14ac:dyDescent="0.35">
      <c r="A133" s="10" t="s">
        <v>84</v>
      </c>
      <c r="B133" s="14" t="s">
        <v>79</v>
      </c>
      <c r="C133" s="10" t="s">
        <v>85</v>
      </c>
      <c r="D133" s="89" t="s">
        <v>238</v>
      </c>
      <c r="E133" s="89">
        <v>2</v>
      </c>
      <c r="F133" s="89" t="s">
        <v>103</v>
      </c>
      <c r="G133" s="89" t="s">
        <v>39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233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 x14ac:dyDescent="0.35">
      <c r="A134" s="10" t="s">
        <v>78</v>
      </c>
      <c r="B134" s="14" t="s">
        <v>79</v>
      </c>
      <c r="C134" s="10" t="s">
        <v>80</v>
      </c>
      <c r="D134" s="89" t="s">
        <v>239</v>
      </c>
      <c r="E134" s="89">
        <v>5</v>
      </c>
      <c r="F134" s="89" t="s">
        <v>107</v>
      </c>
      <c r="G134" s="89" t="s">
        <v>40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233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 x14ac:dyDescent="0.35">
      <c r="A135" s="10" t="s">
        <v>78</v>
      </c>
      <c r="B135" s="14" t="s">
        <v>79</v>
      </c>
      <c r="C135" s="10" t="s">
        <v>80</v>
      </c>
      <c r="D135" s="89" t="s">
        <v>240</v>
      </c>
      <c r="E135" s="89">
        <v>5</v>
      </c>
      <c r="F135" s="89" t="s">
        <v>110</v>
      </c>
      <c r="G135" s="89" t="s">
        <v>47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233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 x14ac:dyDescent="0.35">
      <c r="A136" s="10" t="s">
        <v>78</v>
      </c>
      <c r="B136" s="14" t="s">
        <v>79</v>
      </c>
      <c r="C136" s="10" t="s">
        <v>80</v>
      </c>
      <c r="D136" s="89" t="s">
        <v>152</v>
      </c>
      <c r="E136" s="89">
        <v>3</v>
      </c>
      <c r="F136" s="89" t="s">
        <v>153</v>
      </c>
      <c r="G136" s="89" t="s">
        <v>40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233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 x14ac:dyDescent="0.35">
      <c r="A137" s="10" t="s">
        <v>78</v>
      </c>
      <c r="B137" s="14" t="s">
        <v>79</v>
      </c>
      <c r="C137" s="10" t="s">
        <v>80</v>
      </c>
      <c r="D137" s="89" t="s">
        <v>152</v>
      </c>
      <c r="E137" s="89">
        <v>3</v>
      </c>
      <c r="F137" s="89" t="s">
        <v>155</v>
      </c>
      <c r="G137" s="89" t="s">
        <v>47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233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 x14ac:dyDescent="0.35">
      <c r="A138" s="10" t="s">
        <v>78</v>
      </c>
      <c r="B138" s="14" t="s">
        <v>79</v>
      </c>
      <c r="C138" s="10" t="s">
        <v>80</v>
      </c>
      <c r="D138" s="89" t="s">
        <v>157</v>
      </c>
      <c r="E138" s="89">
        <v>3</v>
      </c>
      <c r="F138" s="89" t="s">
        <v>158</v>
      </c>
      <c r="G138" s="89" t="s">
        <v>40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233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 x14ac:dyDescent="0.35">
      <c r="A139" s="10" t="s">
        <v>114</v>
      </c>
      <c r="B139" s="14" t="s">
        <v>79</v>
      </c>
      <c r="C139" s="10" t="s">
        <v>115</v>
      </c>
      <c r="D139" s="89" t="s">
        <v>115</v>
      </c>
      <c r="E139" s="89">
        <v>5</v>
      </c>
      <c r="F139" s="89" t="s">
        <v>39</v>
      </c>
      <c r="G139" s="89" t="s">
        <v>241</v>
      </c>
      <c r="H139" s="92">
        <v>46113</v>
      </c>
      <c r="I139" s="103"/>
      <c r="J139" s="94">
        <v>39705729.75</v>
      </c>
      <c r="K139" s="94">
        <v>39705729.75</v>
      </c>
      <c r="L139" s="89" t="s">
        <v>233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 x14ac:dyDescent="0.35">
      <c r="A140" s="10" t="s">
        <v>114</v>
      </c>
      <c r="B140" s="14" t="s">
        <v>79</v>
      </c>
      <c r="C140" s="10" t="s">
        <v>115</v>
      </c>
      <c r="D140" s="89" t="s">
        <v>115</v>
      </c>
      <c r="E140" s="89">
        <v>5</v>
      </c>
      <c r="F140" s="89" t="s">
        <v>70</v>
      </c>
      <c r="G140" s="89" t="s">
        <v>47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233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customHeight="1" x14ac:dyDescent="0.35">
      <c r="A141" s="10" t="s">
        <v>129</v>
      </c>
      <c r="B141" s="14" t="s">
        <v>130</v>
      </c>
      <c r="C141" s="10" t="s">
        <v>366</v>
      </c>
      <c r="D141" s="89" t="s">
        <v>131</v>
      </c>
      <c r="E141" s="89">
        <v>5</v>
      </c>
      <c r="F141" s="89" t="s">
        <v>242</v>
      </c>
      <c r="G141" s="89" t="s">
        <v>40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233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customHeight="1" x14ac:dyDescent="0.35">
      <c r="A142" s="27" t="s">
        <v>129</v>
      </c>
      <c r="B142" s="27" t="s">
        <v>130</v>
      </c>
      <c r="C142" s="10" t="s">
        <v>366</v>
      </c>
      <c r="D142" s="89" t="s">
        <v>131</v>
      </c>
      <c r="E142" s="89">
        <v>5</v>
      </c>
      <c r="F142" s="89" t="s">
        <v>243</v>
      </c>
      <c r="G142" s="89" t="s">
        <v>47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233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 x14ac:dyDescent="0.35">
      <c r="A143" s="27" t="s">
        <v>244</v>
      </c>
      <c r="B143" s="27" t="s">
        <v>245</v>
      </c>
      <c r="C143" s="27" t="s">
        <v>245</v>
      </c>
      <c r="D143" s="27" t="s">
        <v>245</v>
      </c>
      <c r="E143" s="89" t="s">
        <v>246</v>
      </c>
      <c r="F143" s="89" t="s">
        <v>246</v>
      </c>
      <c r="G143" s="89" t="s">
        <v>246</v>
      </c>
      <c r="H143" s="89" t="s">
        <v>246</v>
      </c>
      <c r="I143" s="103"/>
      <c r="J143" s="94">
        <v>4365000</v>
      </c>
      <c r="K143" s="94">
        <v>4365000</v>
      </c>
      <c r="L143" s="89" t="s">
        <v>41</v>
      </c>
      <c r="M143" s="27" t="s">
        <v>63</v>
      </c>
      <c r="N143" s="28">
        <v>2566</v>
      </c>
      <c r="O143" s="12">
        <v>46038</v>
      </c>
      <c r="P143" s="27" t="s">
        <v>247</v>
      </c>
      <c r="Q143" s="17" t="s">
        <v>44</v>
      </c>
      <c r="R143" s="17" t="s">
        <v>45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 x14ac:dyDescent="0.35">
      <c r="A144" s="10" t="s">
        <v>248</v>
      </c>
      <c r="B144" s="10" t="s">
        <v>249</v>
      </c>
      <c r="C144" s="10" t="s">
        <v>250</v>
      </c>
      <c r="D144" s="89" t="s">
        <v>246</v>
      </c>
      <c r="E144" s="89" t="s">
        <v>246</v>
      </c>
      <c r="F144" s="89" t="s">
        <v>251</v>
      </c>
      <c r="G144" s="89" t="s">
        <v>252</v>
      </c>
      <c r="H144" s="92" t="s">
        <v>246</v>
      </c>
      <c r="I144" s="103"/>
      <c r="J144" s="94"/>
      <c r="K144" s="94"/>
      <c r="L144" s="89" t="s">
        <v>41</v>
      </c>
      <c r="M144" s="10" t="s">
        <v>63</v>
      </c>
      <c r="N144" s="11">
        <v>2622</v>
      </c>
      <c r="O144" s="12">
        <v>46163</v>
      </c>
      <c r="P144" s="10" t="s">
        <v>253</v>
      </c>
      <c r="Q144" s="7" t="s">
        <v>44</v>
      </c>
      <c r="R144" s="10" t="s">
        <v>45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 x14ac:dyDescent="0.35">
      <c r="A145" s="7" t="s">
        <v>36</v>
      </c>
      <c r="B145" s="10" t="s">
        <v>37</v>
      </c>
      <c r="C145" s="7" t="s">
        <v>38</v>
      </c>
      <c r="D145" s="89"/>
      <c r="E145" s="89"/>
      <c r="F145" s="89"/>
      <c r="G145" s="89" t="s">
        <v>40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42</v>
      </c>
      <c r="N145" s="7">
        <v>2007</v>
      </c>
      <c r="O145" s="13">
        <v>46041</v>
      </c>
      <c r="P145" s="7" t="s">
        <v>254</v>
      </c>
      <c r="Q145" s="7" t="s">
        <v>192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 x14ac:dyDescent="0.35">
      <c r="A146" s="7" t="s">
        <v>36</v>
      </c>
      <c r="B146" s="10" t="s">
        <v>37</v>
      </c>
      <c r="C146" s="7" t="s">
        <v>38</v>
      </c>
      <c r="D146" s="89"/>
      <c r="E146" s="89"/>
      <c r="F146" s="89"/>
      <c r="G146" s="89" t="s">
        <v>47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42</v>
      </c>
      <c r="N146" s="7">
        <v>2009</v>
      </c>
      <c r="O146" s="13">
        <v>46051</v>
      </c>
      <c r="P146" s="7" t="s">
        <v>255</v>
      </c>
      <c r="Q146" s="7" t="s">
        <v>192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 x14ac:dyDescent="0.35">
      <c r="A147" s="10" t="s">
        <v>36</v>
      </c>
      <c r="B147" s="10" t="s">
        <v>37</v>
      </c>
      <c r="C147" s="10" t="s">
        <v>38</v>
      </c>
      <c r="D147" s="89"/>
      <c r="E147" s="89"/>
      <c r="F147" s="89"/>
      <c r="G147" s="89" t="s">
        <v>40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42</v>
      </c>
      <c r="N147" s="11">
        <v>2013</v>
      </c>
      <c r="O147" s="12">
        <v>46056</v>
      </c>
      <c r="P147" s="10" t="s">
        <v>256</v>
      </c>
      <c r="Q147" s="7" t="s">
        <v>192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 x14ac:dyDescent="0.35">
      <c r="A148" s="10" t="s">
        <v>36</v>
      </c>
      <c r="B148" s="10" t="s">
        <v>37</v>
      </c>
      <c r="C148" s="10" t="s">
        <v>38</v>
      </c>
      <c r="D148" s="89"/>
      <c r="E148" s="89"/>
      <c r="F148" s="89"/>
      <c r="G148" s="89" t="s">
        <v>47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42</v>
      </c>
      <c r="N148" s="11">
        <v>2014</v>
      </c>
      <c r="O148" s="12">
        <v>46059</v>
      </c>
      <c r="P148" s="10" t="s">
        <v>257</v>
      </c>
      <c r="Q148" s="7" t="s">
        <v>192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 x14ac:dyDescent="0.35">
      <c r="A149" s="10" t="s">
        <v>36</v>
      </c>
      <c r="B149" s="10" t="s">
        <v>37</v>
      </c>
      <c r="C149" s="10" t="s">
        <v>38</v>
      </c>
      <c r="D149" s="89"/>
      <c r="E149" s="89"/>
      <c r="F149" s="89"/>
      <c r="G149" s="89" t="s">
        <v>47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42</v>
      </c>
      <c r="N149" s="11">
        <v>2016</v>
      </c>
      <c r="O149" s="12">
        <v>46098</v>
      </c>
      <c r="P149" s="10" t="s">
        <v>258</v>
      </c>
      <c r="Q149" s="7" t="s">
        <v>192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 x14ac:dyDescent="0.35">
      <c r="A150" s="10" t="s">
        <v>36</v>
      </c>
      <c r="B150" s="10" t="s">
        <v>37</v>
      </c>
      <c r="C150" s="10" t="s">
        <v>38</v>
      </c>
      <c r="D150" s="89"/>
      <c r="E150" s="89"/>
      <c r="F150" s="89"/>
      <c r="G150" s="89" t="s">
        <v>47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42</v>
      </c>
      <c r="N150" s="11">
        <v>2020</v>
      </c>
      <c r="O150" s="12">
        <v>46122</v>
      </c>
      <c r="P150" s="10" t="s">
        <v>212</v>
      </c>
      <c r="Q150" s="7" t="s">
        <v>192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 x14ac:dyDescent="0.35">
      <c r="A151" s="10" t="s">
        <v>36</v>
      </c>
      <c r="B151" s="10" t="s">
        <v>37</v>
      </c>
      <c r="C151" s="10" t="s">
        <v>38</v>
      </c>
      <c r="D151" s="89"/>
      <c r="E151" s="89"/>
      <c r="F151" s="89"/>
      <c r="G151" s="89" t="s">
        <v>40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42</v>
      </c>
      <c r="N151" s="11">
        <v>2022</v>
      </c>
      <c r="O151" s="12">
        <v>46141</v>
      </c>
      <c r="P151" s="10" t="s">
        <v>256</v>
      </c>
      <c r="Q151" s="7" t="s">
        <v>192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 x14ac:dyDescent="0.35">
      <c r="A152" s="10" t="s">
        <v>36</v>
      </c>
      <c r="B152" s="10" t="s">
        <v>37</v>
      </c>
      <c r="C152" s="10" t="s">
        <v>38</v>
      </c>
      <c r="D152" s="89"/>
      <c r="E152" s="89"/>
      <c r="F152" s="89"/>
      <c r="G152" s="89" t="s">
        <v>47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42</v>
      </c>
      <c r="N152" s="11">
        <v>2023</v>
      </c>
      <c r="O152" s="12">
        <v>46142</v>
      </c>
      <c r="P152" s="10" t="s">
        <v>257</v>
      </c>
      <c r="Q152" s="7" t="s">
        <v>192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 x14ac:dyDescent="0.35">
      <c r="A153" s="10" t="s">
        <v>36</v>
      </c>
      <c r="B153" s="10" t="s">
        <v>37</v>
      </c>
      <c r="C153" s="10" t="s">
        <v>38</v>
      </c>
      <c r="D153" s="89"/>
      <c r="E153" s="89"/>
      <c r="F153" s="89"/>
      <c r="G153" s="89" t="s">
        <v>47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42</v>
      </c>
      <c r="N153" s="11">
        <v>2025</v>
      </c>
      <c r="O153" s="12">
        <v>46142</v>
      </c>
      <c r="P153" s="10" t="s">
        <v>167</v>
      </c>
      <c r="Q153" s="7" t="s">
        <v>192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 x14ac:dyDescent="0.35">
      <c r="A154" s="10" t="s">
        <v>259</v>
      </c>
      <c r="B154" s="10" t="s">
        <v>260</v>
      </c>
      <c r="C154" s="10" t="s">
        <v>260</v>
      </c>
      <c r="D154" s="10" t="s">
        <v>260</v>
      </c>
      <c r="E154" s="89" t="s">
        <v>246</v>
      </c>
      <c r="F154" s="89"/>
      <c r="G154" s="89" t="s">
        <v>246</v>
      </c>
      <c r="H154" s="89" t="s">
        <v>246</v>
      </c>
      <c r="I154" s="103"/>
      <c r="J154" s="94">
        <v>10353957.49</v>
      </c>
      <c r="K154" s="94">
        <v>10353957.49</v>
      </c>
      <c r="L154" s="89" t="s">
        <v>41</v>
      </c>
      <c r="M154" s="10" t="s">
        <v>63</v>
      </c>
      <c r="N154" s="11">
        <v>2473</v>
      </c>
      <c r="O154" s="12">
        <v>45712</v>
      </c>
      <c r="P154" s="10" t="s">
        <v>261</v>
      </c>
      <c r="Q154" s="10" t="s">
        <v>44</v>
      </c>
      <c r="R154" s="10" t="s">
        <v>45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 x14ac:dyDescent="0.35">
      <c r="A155" s="10" t="s">
        <v>259</v>
      </c>
      <c r="B155" s="10" t="s">
        <v>260</v>
      </c>
      <c r="C155" s="10" t="s">
        <v>260</v>
      </c>
      <c r="D155" s="10" t="s">
        <v>260</v>
      </c>
      <c r="E155" s="89" t="s">
        <v>246</v>
      </c>
      <c r="F155" s="89"/>
      <c r="G155" s="89" t="s">
        <v>246</v>
      </c>
      <c r="H155" s="89" t="s">
        <v>246</v>
      </c>
      <c r="I155" s="103"/>
      <c r="J155" s="94">
        <v>12148681.48</v>
      </c>
      <c r="K155" s="94">
        <v>12148681.48</v>
      </c>
      <c r="L155" s="89" t="s">
        <v>41</v>
      </c>
      <c r="M155" s="10" t="s">
        <v>63</v>
      </c>
      <c r="N155" s="11">
        <v>2474</v>
      </c>
      <c r="O155" s="12">
        <v>45715</v>
      </c>
      <c r="P155" s="10" t="s">
        <v>262</v>
      </c>
      <c r="Q155" s="10" t="s">
        <v>44</v>
      </c>
      <c r="R155" s="10" t="s">
        <v>45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 x14ac:dyDescent="0.35">
      <c r="A156" s="10" t="s">
        <v>259</v>
      </c>
      <c r="B156" s="10" t="s">
        <v>260</v>
      </c>
      <c r="C156" s="10" t="s">
        <v>260</v>
      </c>
      <c r="D156" s="10" t="s">
        <v>260</v>
      </c>
      <c r="E156" s="89" t="s">
        <v>246</v>
      </c>
      <c r="F156" s="89"/>
      <c r="G156" s="89" t="s">
        <v>246</v>
      </c>
      <c r="H156" s="89" t="s">
        <v>246</v>
      </c>
      <c r="I156" s="103"/>
      <c r="J156" s="94">
        <v>12942756.869999999</v>
      </c>
      <c r="K156" s="94">
        <v>12942756.869999999</v>
      </c>
      <c r="L156" s="89" t="s">
        <v>41</v>
      </c>
      <c r="M156" s="10" t="s">
        <v>63</v>
      </c>
      <c r="N156" s="11">
        <v>2478</v>
      </c>
      <c r="O156" s="12">
        <v>45792</v>
      </c>
      <c r="P156" s="10" t="s">
        <v>263</v>
      </c>
      <c r="Q156" s="10" t="s">
        <v>44</v>
      </c>
      <c r="R156" s="10" t="s">
        <v>45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 x14ac:dyDescent="0.35">
      <c r="A157" s="10" t="s">
        <v>259</v>
      </c>
      <c r="B157" s="10" t="s">
        <v>260</v>
      </c>
      <c r="C157" s="10" t="s">
        <v>260</v>
      </c>
      <c r="D157" s="10" t="s">
        <v>260</v>
      </c>
      <c r="E157" s="89" t="s">
        <v>246</v>
      </c>
      <c r="F157" s="89"/>
      <c r="G157" s="89" t="s">
        <v>246</v>
      </c>
      <c r="H157" s="89" t="s">
        <v>246</v>
      </c>
      <c r="I157" s="103"/>
      <c r="J157" s="94">
        <v>16152432.75</v>
      </c>
      <c r="K157" s="94">
        <v>16152432.75</v>
      </c>
      <c r="L157" s="89" t="s">
        <v>41</v>
      </c>
      <c r="M157" s="10" t="s">
        <v>63</v>
      </c>
      <c r="N157" s="11">
        <v>2479</v>
      </c>
      <c r="O157" s="12">
        <v>45792</v>
      </c>
      <c r="P157" s="10" t="s">
        <v>264</v>
      </c>
      <c r="Q157" s="10" t="s">
        <v>44</v>
      </c>
      <c r="R157" s="10" t="s">
        <v>45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 x14ac:dyDescent="0.35">
      <c r="A158" s="10" t="s">
        <v>259</v>
      </c>
      <c r="B158" s="10" t="s">
        <v>260</v>
      </c>
      <c r="C158" s="10" t="s">
        <v>260</v>
      </c>
      <c r="D158" s="10" t="s">
        <v>260</v>
      </c>
      <c r="E158" s="89" t="s">
        <v>246</v>
      </c>
      <c r="F158" s="89"/>
      <c r="G158" s="89" t="s">
        <v>246</v>
      </c>
      <c r="H158" s="89" t="s">
        <v>246</v>
      </c>
      <c r="I158" s="103"/>
      <c r="J158" s="94">
        <v>12942808.869999999</v>
      </c>
      <c r="K158" s="94">
        <v>12942808.869999999</v>
      </c>
      <c r="L158" s="89" t="s">
        <v>41</v>
      </c>
      <c r="M158" s="10" t="s">
        <v>63</v>
      </c>
      <c r="N158" s="11">
        <v>2480</v>
      </c>
      <c r="O158" s="12">
        <v>45807</v>
      </c>
      <c r="P158" s="10" t="s">
        <v>265</v>
      </c>
      <c r="Q158" s="10" t="s">
        <v>44</v>
      </c>
      <c r="R158" s="10" t="s">
        <v>45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 x14ac:dyDescent="0.35">
      <c r="A159" s="14" t="s">
        <v>266</v>
      </c>
      <c r="B159" s="14" t="s">
        <v>79</v>
      </c>
      <c r="C159" s="14" t="s">
        <v>267</v>
      </c>
      <c r="D159" s="89" t="s">
        <v>268</v>
      </c>
      <c r="E159" s="89"/>
      <c r="F159" s="89" t="s">
        <v>268</v>
      </c>
      <c r="G159" s="89" t="s">
        <v>268</v>
      </c>
      <c r="H159" s="89" t="s">
        <v>246</v>
      </c>
      <c r="I159" s="103"/>
      <c r="J159" s="96">
        <v>76100793.859999999</v>
      </c>
      <c r="K159" s="96">
        <v>76100793.859999999</v>
      </c>
      <c r="L159" s="89" t="s">
        <v>41</v>
      </c>
      <c r="M159" s="14" t="s">
        <v>63</v>
      </c>
      <c r="N159" s="15">
        <v>2483</v>
      </c>
      <c r="O159" s="12">
        <v>45833</v>
      </c>
      <c r="P159" s="14" t="s">
        <v>269</v>
      </c>
      <c r="Q159" s="14" t="s">
        <v>44</v>
      </c>
      <c r="R159" s="14" t="s">
        <v>45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 x14ac:dyDescent="0.35">
      <c r="A160" s="10" t="s">
        <v>259</v>
      </c>
      <c r="B160" s="10" t="s">
        <v>260</v>
      </c>
      <c r="C160" s="10" t="s">
        <v>260</v>
      </c>
      <c r="D160" s="10" t="s">
        <v>260</v>
      </c>
      <c r="E160" s="89" t="s">
        <v>246</v>
      </c>
      <c r="F160" s="89"/>
      <c r="G160" s="89" t="s">
        <v>246</v>
      </c>
      <c r="H160" s="89" t="s">
        <v>246</v>
      </c>
      <c r="I160" s="103"/>
      <c r="J160" s="94">
        <v>19413407.469999999</v>
      </c>
      <c r="K160" s="94">
        <v>19413407.469999999</v>
      </c>
      <c r="L160" s="89" t="s">
        <v>41</v>
      </c>
      <c r="M160" s="10" t="s">
        <v>63</v>
      </c>
      <c r="N160" s="11">
        <v>2484</v>
      </c>
      <c r="O160" s="12">
        <v>45664</v>
      </c>
      <c r="P160" s="10" t="s">
        <v>270</v>
      </c>
      <c r="Q160" s="10" t="s">
        <v>44</v>
      </c>
      <c r="R160" s="10" t="s">
        <v>45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 x14ac:dyDescent="0.35">
      <c r="A161" s="20" t="s">
        <v>259</v>
      </c>
      <c r="B161" s="10" t="s">
        <v>260</v>
      </c>
      <c r="C161" s="20" t="s">
        <v>260</v>
      </c>
      <c r="D161" s="10" t="s">
        <v>260</v>
      </c>
      <c r="E161" s="89" t="s">
        <v>246</v>
      </c>
      <c r="F161" s="89"/>
      <c r="G161" s="89" t="s">
        <v>246</v>
      </c>
      <c r="H161" s="89" t="s">
        <v>246</v>
      </c>
      <c r="I161" s="103"/>
      <c r="J161" s="94">
        <v>13706484.199999999</v>
      </c>
      <c r="K161" s="94">
        <v>13706484.199999999</v>
      </c>
      <c r="L161" s="89" t="s">
        <v>41</v>
      </c>
      <c r="M161" s="20" t="s">
        <v>63</v>
      </c>
      <c r="N161" s="21">
        <v>2489</v>
      </c>
      <c r="O161" s="12">
        <v>45869</v>
      </c>
      <c r="P161" s="20" t="s">
        <v>271</v>
      </c>
      <c r="Q161" s="97" t="s">
        <v>44</v>
      </c>
      <c r="R161" s="97" t="s">
        <v>45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 x14ac:dyDescent="0.35">
      <c r="A162" s="10" t="s">
        <v>259</v>
      </c>
      <c r="B162" s="10" t="s">
        <v>260</v>
      </c>
      <c r="C162" s="10" t="s">
        <v>260</v>
      </c>
      <c r="D162" s="10" t="s">
        <v>260</v>
      </c>
      <c r="E162" s="89" t="s">
        <v>246</v>
      </c>
      <c r="F162" s="89"/>
      <c r="G162" s="89" t="s">
        <v>246</v>
      </c>
      <c r="H162" s="89" t="s">
        <v>246</v>
      </c>
      <c r="I162" s="103"/>
      <c r="J162" s="94">
        <v>13706523.199999999</v>
      </c>
      <c r="K162" s="94">
        <v>13706523.199999999</v>
      </c>
      <c r="L162" s="89" t="s">
        <v>41</v>
      </c>
      <c r="M162" s="10" t="s">
        <v>63</v>
      </c>
      <c r="N162" s="11">
        <v>2497</v>
      </c>
      <c r="O162" s="12">
        <v>45897</v>
      </c>
      <c r="P162" s="10" t="s">
        <v>272</v>
      </c>
      <c r="Q162" s="10" t="s">
        <v>44</v>
      </c>
      <c r="R162" s="10" t="s">
        <v>45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 x14ac:dyDescent="0.35">
      <c r="A163" s="14" t="s">
        <v>78</v>
      </c>
      <c r="B163" s="14" t="s">
        <v>79</v>
      </c>
      <c r="C163" s="14" t="s">
        <v>80</v>
      </c>
      <c r="D163" s="89" t="s">
        <v>273</v>
      </c>
      <c r="E163" s="89">
        <v>0</v>
      </c>
      <c r="F163" s="89" t="s">
        <v>273</v>
      </c>
      <c r="G163" s="89" t="s">
        <v>273</v>
      </c>
      <c r="H163" s="89" t="s">
        <v>273</v>
      </c>
      <c r="I163" s="103"/>
      <c r="J163" s="96">
        <v>81685880</v>
      </c>
      <c r="K163" s="96">
        <v>81685880</v>
      </c>
      <c r="L163" s="89" t="s">
        <v>41</v>
      </c>
      <c r="M163" s="14" t="s">
        <v>63</v>
      </c>
      <c r="N163" s="15">
        <v>2498</v>
      </c>
      <c r="O163" s="12">
        <v>45897</v>
      </c>
      <c r="P163" s="14" t="s">
        <v>274</v>
      </c>
      <c r="Q163" s="14" t="s">
        <v>44</v>
      </c>
      <c r="R163" s="14" t="s">
        <v>45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 x14ac:dyDescent="0.35">
      <c r="A164" s="10" t="s">
        <v>275</v>
      </c>
      <c r="B164" s="10" t="s">
        <v>260</v>
      </c>
      <c r="C164" s="10" t="s">
        <v>276</v>
      </c>
      <c r="D164" s="10" t="s">
        <v>260</v>
      </c>
      <c r="E164" s="89" t="s">
        <v>246</v>
      </c>
      <c r="F164" s="89"/>
      <c r="G164" s="89" t="s">
        <v>246</v>
      </c>
      <c r="H164" s="89" t="s">
        <v>246</v>
      </c>
      <c r="I164" s="103"/>
      <c r="J164" s="94">
        <v>25868427.940000001</v>
      </c>
      <c r="K164" s="94">
        <v>25868427.940000001</v>
      </c>
      <c r="L164" s="89" t="s">
        <v>41</v>
      </c>
      <c r="M164" s="10" t="s">
        <v>63</v>
      </c>
      <c r="N164" s="11">
        <v>2502</v>
      </c>
      <c r="O164" s="12">
        <v>45899</v>
      </c>
      <c r="P164" s="10" t="s">
        <v>277</v>
      </c>
      <c r="Q164" s="10" t="s">
        <v>44</v>
      </c>
      <c r="R164" s="10" t="s">
        <v>45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 x14ac:dyDescent="0.35">
      <c r="A165" s="14" t="s">
        <v>78</v>
      </c>
      <c r="B165" s="14" t="s">
        <v>79</v>
      </c>
      <c r="C165" s="14" t="s">
        <v>80</v>
      </c>
      <c r="D165" s="89" t="s">
        <v>273</v>
      </c>
      <c r="E165" s="89">
        <v>0</v>
      </c>
      <c r="F165" s="89" t="s">
        <v>273</v>
      </c>
      <c r="G165" s="89" t="s">
        <v>273</v>
      </c>
      <c r="H165" s="89" t="s">
        <v>273</v>
      </c>
      <c r="I165" s="103"/>
      <c r="J165" s="96">
        <v>12601653.25</v>
      </c>
      <c r="K165" s="96">
        <v>12601653.25</v>
      </c>
      <c r="L165" s="89" t="s">
        <v>41</v>
      </c>
      <c r="M165" s="14" t="s">
        <v>63</v>
      </c>
      <c r="N165" s="15">
        <v>2503</v>
      </c>
      <c r="O165" s="12">
        <v>45899</v>
      </c>
      <c r="P165" s="14" t="s">
        <v>278</v>
      </c>
      <c r="Q165" s="14" t="s">
        <v>44</v>
      </c>
      <c r="R165" s="14" t="s">
        <v>45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 x14ac:dyDescent="0.35">
      <c r="A166" s="14" t="s">
        <v>78</v>
      </c>
      <c r="B166" s="14" t="s">
        <v>79</v>
      </c>
      <c r="C166" s="14" t="s">
        <v>80</v>
      </c>
      <c r="D166" s="89"/>
      <c r="E166" s="89"/>
      <c r="F166" s="89"/>
      <c r="G166" s="89" t="s">
        <v>279</v>
      </c>
      <c r="H166" s="89" t="s">
        <v>279</v>
      </c>
      <c r="I166" s="103"/>
      <c r="J166" s="96">
        <v>21615296.399999999</v>
      </c>
      <c r="K166" s="96">
        <v>21615296.399999999</v>
      </c>
      <c r="L166" s="89" t="s">
        <v>41</v>
      </c>
      <c r="M166" s="14" t="s">
        <v>63</v>
      </c>
      <c r="N166" s="15">
        <v>2514</v>
      </c>
      <c r="O166" s="12">
        <v>45915</v>
      </c>
      <c r="P166" s="14" t="s">
        <v>280</v>
      </c>
      <c r="Q166" s="14" t="s">
        <v>44</v>
      </c>
      <c r="R166" s="14" t="s">
        <v>45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 x14ac:dyDescent="0.35">
      <c r="A167" s="10" t="s">
        <v>259</v>
      </c>
      <c r="B167" s="10" t="s">
        <v>260</v>
      </c>
      <c r="C167" s="10" t="s">
        <v>260</v>
      </c>
      <c r="D167" s="10" t="s">
        <v>260</v>
      </c>
      <c r="E167" s="89" t="s">
        <v>246</v>
      </c>
      <c r="F167" s="89"/>
      <c r="G167" s="89" t="s">
        <v>246</v>
      </c>
      <c r="H167" s="89" t="s">
        <v>246</v>
      </c>
      <c r="I167" s="103"/>
      <c r="J167" s="94">
        <v>20773198.859999999</v>
      </c>
      <c r="K167" s="94">
        <v>20773198.859999999</v>
      </c>
      <c r="L167" s="89" t="s">
        <v>41</v>
      </c>
      <c r="M167" s="10" t="s">
        <v>63</v>
      </c>
      <c r="N167" s="11">
        <v>2516</v>
      </c>
      <c r="O167" s="12">
        <v>45930</v>
      </c>
      <c r="P167" s="10" t="s">
        <v>281</v>
      </c>
      <c r="Q167" s="10" t="s">
        <v>44</v>
      </c>
      <c r="R167" s="10" t="s">
        <v>45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 x14ac:dyDescent="0.35">
      <c r="A168" s="14" t="s">
        <v>266</v>
      </c>
      <c r="B168" s="14" t="s">
        <v>79</v>
      </c>
      <c r="C168" s="14" t="s">
        <v>267</v>
      </c>
      <c r="D168" s="89"/>
      <c r="E168" s="89"/>
      <c r="F168" s="89"/>
      <c r="G168" s="89" t="s">
        <v>40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63</v>
      </c>
      <c r="N168" s="15">
        <v>2517</v>
      </c>
      <c r="O168" s="12">
        <v>45946</v>
      </c>
      <c r="P168" s="14" t="s">
        <v>282</v>
      </c>
      <c r="Q168" s="14" t="s">
        <v>192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 x14ac:dyDescent="0.35">
      <c r="A169" s="14" t="s">
        <v>266</v>
      </c>
      <c r="B169" s="14" t="s">
        <v>79</v>
      </c>
      <c r="C169" s="14" t="s">
        <v>267</v>
      </c>
      <c r="D169" s="89"/>
      <c r="E169" s="89"/>
      <c r="F169" s="89"/>
      <c r="G169" s="89" t="s">
        <v>40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63</v>
      </c>
      <c r="N169" s="15">
        <v>2518</v>
      </c>
      <c r="O169" s="12">
        <v>45946</v>
      </c>
      <c r="P169" s="14" t="s">
        <v>283</v>
      </c>
      <c r="Q169" s="14" t="s">
        <v>192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 x14ac:dyDescent="0.35">
      <c r="A170" s="14" t="s">
        <v>266</v>
      </c>
      <c r="B170" s="14" t="s">
        <v>79</v>
      </c>
      <c r="C170" s="14" t="s">
        <v>267</v>
      </c>
      <c r="D170" s="89"/>
      <c r="E170" s="89"/>
      <c r="F170" s="89"/>
      <c r="G170" s="89" t="s">
        <v>40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63</v>
      </c>
      <c r="N170" s="15">
        <v>2519</v>
      </c>
      <c r="O170" s="12">
        <v>45946</v>
      </c>
      <c r="P170" s="14" t="s">
        <v>284</v>
      </c>
      <c r="Q170" s="14" t="s">
        <v>192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 x14ac:dyDescent="0.35">
      <c r="A171" s="14" t="s">
        <v>266</v>
      </c>
      <c r="B171" s="14" t="s">
        <v>79</v>
      </c>
      <c r="C171" s="14" t="s">
        <v>267</v>
      </c>
      <c r="D171" s="89"/>
      <c r="E171" s="89"/>
      <c r="F171" s="89"/>
      <c r="G171" s="89" t="s">
        <v>40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63</v>
      </c>
      <c r="N171" s="15">
        <v>2520</v>
      </c>
      <c r="O171" s="12">
        <v>45946</v>
      </c>
      <c r="P171" s="14" t="s">
        <v>285</v>
      </c>
      <c r="Q171" s="14" t="s">
        <v>192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 x14ac:dyDescent="0.35">
      <c r="A172" s="14" t="s">
        <v>266</v>
      </c>
      <c r="B172" s="14" t="s">
        <v>79</v>
      </c>
      <c r="C172" s="14" t="s">
        <v>267</v>
      </c>
      <c r="D172" s="89"/>
      <c r="E172" s="89"/>
      <c r="F172" s="89"/>
      <c r="G172" s="89" t="s">
        <v>40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63</v>
      </c>
      <c r="N172" s="15">
        <v>2521</v>
      </c>
      <c r="O172" s="12">
        <v>45946</v>
      </c>
      <c r="P172" s="14" t="s">
        <v>286</v>
      </c>
      <c r="Q172" s="14" t="s">
        <v>192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 x14ac:dyDescent="0.35">
      <c r="A173" s="14" t="s">
        <v>266</v>
      </c>
      <c r="B173" s="14" t="s">
        <v>79</v>
      </c>
      <c r="C173" s="14" t="s">
        <v>267</v>
      </c>
      <c r="D173" s="89"/>
      <c r="E173" s="89"/>
      <c r="F173" s="89"/>
      <c r="G173" s="89" t="s">
        <v>40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63</v>
      </c>
      <c r="N173" s="15">
        <v>2522</v>
      </c>
      <c r="O173" s="12">
        <v>45946</v>
      </c>
      <c r="P173" s="14" t="s">
        <v>287</v>
      </c>
      <c r="Q173" s="14" t="s">
        <v>192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 x14ac:dyDescent="0.35">
      <c r="A174" s="14" t="s">
        <v>266</v>
      </c>
      <c r="B174" s="14" t="s">
        <v>79</v>
      </c>
      <c r="C174" s="14" t="s">
        <v>267</v>
      </c>
      <c r="D174" s="89"/>
      <c r="E174" s="89"/>
      <c r="F174" s="89"/>
      <c r="G174" s="89" t="s">
        <v>47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63</v>
      </c>
      <c r="N174" s="15">
        <v>2523</v>
      </c>
      <c r="O174" s="12">
        <v>45946</v>
      </c>
      <c r="P174" s="14" t="s">
        <v>288</v>
      </c>
      <c r="Q174" s="14" t="s">
        <v>192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 x14ac:dyDescent="0.35">
      <c r="A175" s="14" t="s">
        <v>266</v>
      </c>
      <c r="B175" s="14" t="s">
        <v>79</v>
      </c>
      <c r="C175" s="14" t="s">
        <v>267</v>
      </c>
      <c r="D175" s="89"/>
      <c r="E175" s="89"/>
      <c r="F175" s="89"/>
      <c r="G175" s="89" t="s">
        <v>47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63</v>
      </c>
      <c r="N175" s="15">
        <v>2524</v>
      </c>
      <c r="O175" s="12">
        <v>45946</v>
      </c>
      <c r="P175" s="14" t="s">
        <v>289</v>
      </c>
      <c r="Q175" s="14" t="s">
        <v>192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 x14ac:dyDescent="0.35">
      <c r="A176" s="14" t="s">
        <v>266</v>
      </c>
      <c r="B176" s="14" t="s">
        <v>79</v>
      </c>
      <c r="C176" s="14" t="s">
        <v>267</v>
      </c>
      <c r="D176" s="89"/>
      <c r="E176" s="89"/>
      <c r="F176" s="89"/>
      <c r="G176" s="89" t="s">
        <v>47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63</v>
      </c>
      <c r="N176" s="15">
        <v>2525</v>
      </c>
      <c r="O176" s="12">
        <v>45946</v>
      </c>
      <c r="P176" s="14" t="s">
        <v>290</v>
      </c>
      <c r="Q176" s="14" t="s">
        <v>192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 x14ac:dyDescent="0.35">
      <c r="A177" s="14" t="s">
        <v>266</v>
      </c>
      <c r="B177" s="14" t="s">
        <v>79</v>
      </c>
      <c r="C177" s="14" t="s">
        <v>267</v>
      </c>
      <c r="D177" s="89"/>
      <c r="E177" s="89"/>
      <c r="F177" s="89"/>
      <c r="G177" s="89" t="s">
        <v>47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63</v>
      </c>
      <c r="N177" s="15">
        <v>2526</v>
      </c>
      <c r="O177" s="12">
        <v>45946</v>
      </c>
      <c r="P177" s="14" t="s">
        <v>291</v>
      </c>
      <c r="Q177" s="14" t="s">
        <v>192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 x14ac:dyDescent="0.35">
      <c r="A178" s="14" t="s">
        <v>266</v>
      </c>
      <c r="B178" s="14" t="s">
        <v>79</v>
      </c>
      <c r="C178" s="14" t="s">
        <v>267</v>
      </c>
      <c r="D178" s="89"/>
      <c r="E178" s="89"/>
      <c r="F178" s="89"/>
      <c r="G178" s="89" t="s">
        <v>47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63</v>
      </c>
      <c r="N178" s="15">
        <v>2527</v>
      </c>
      <c r="O178" s="12">
        <v>45946</v>
      </c>
      <c r="P178" s="14" t="s">
        <v>292</v>
      </c>
      <c r="Q178" s="14" t="s">
        <v>192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 x14ac:dyDescent="0.35">
      <c r="A179" s="14" t="s">
        <v>266</v>
      </c>
      <c r="B179" s="14" t="s">
        <v>79</v>
      </c>
      <c r="C179" s="14" t="s">
        <v>267</v>
      </c>
      <c r="D179" s="89"/>
      <c r="E179" s="89"/>
      <c r="F179" s="89"/>
      <c r="G179" s="89" t="s">
        <v>47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63</v>
      </c>
      <c r="N179" s="15">
        <v>2528</v>
      </c>
      <c r="O179" s="12">
        <v>45946</v>
      </c>
      <c r="P179" s="14" t="s">
        <v>293</v>
      </c>
      <c r="Q179" s="14" t="s">
        <v>192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 x14ac:dyDescent="0.35">
      <c r="A180" s="14" t="s">
        <v>266</v>
      </c>
      <c r="B180" s="14" t="s">
        <v>79</v>
      </c>
      <c r="C180" s="14" t="s">
        <v>267</v>
      </c>
      <c r="D180" s="89"/>
      <c r="E180" s="89"/>
      <c r="F180" s="89"/>
      <c r="G180" s="89" t="s">
        <v>40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63</v>
      </c>
      <c r="N180" s="15">
        <v>2529</v>
      </c>
      <c r="O180" s="12">
        <v>45946</v>
      </c>
      <c r="P180" s="14" t="s">
        <v>294</v>
      </c>
      <c r="Q180" s="14" t="s">
        <v>192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 x14ac:dyDescent="0.35">
      <c r="A181" s="14" t="s">
        <v>266</v>
      </c>
      <c r="B181" s="14" t="s">
        <v>79</v>
      </c>
      <c r="C181" s="14" t="s">
        <v>267</v>
      </c>
      <c r="D181" s="89"/>
      <c r="E181" s="89"/>
      <c r="F181" s="89"/>
      <c r="G181" s="89" t="s">
        <v>40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63</v>
      </c>
      <c r="N181" s="15">
        <v>2530</v>
      </c>
      <c r="O181" s="12">
        <v>45946</v>
      </c>
      <c r="P181" s="14" t="s">
        <v>295</v>
      </c>
      <c r="Q181" s="14" t="s">
        <v>192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 x14ac:dyDescent="0.35">
      <c r="A182" s="14" t="s">
        <v>266</v>
      </c>
      <c r="B182" s="14" t="s">
        <v>79</v>
      </c>
      <c r="C182" s="14" t="s">
        <v>267</v>
      </c>
      <c r="D182" s="89"/>
      <c r="E182" s="89"/>
      <c r="F182" s="89"/>
      <c r="G182" s="89" t="s">
        <v>40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63</v>
      </c>
      <c r="N182" s="15">
        <v>2531</v>
      </c>
      <c r="O182" s="12">
        <v>45946</v>
      </c>
      <c r="P182" s="14" t="s">
        <v>296</v>
      </c>
      <c r="Q182" s="14" t="s">
        <v>192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 x14ac:dyDescent="0.35">
      <c r="A183" s="14" t="s">
        <v>266</v>
      </c>
      <c r="B183" s="14" t="s">
        <v>79</v>
      </c>
      <c r="C183" s="14" t="s">
        <v>267</v>
      </c>
      <c r="D183" s="89"/>
      <c r="E183" s="89"/>
      <c r="F183" s="89"/>
      <c r="G183" s="89" t="s">
        <v>40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63</v>
      </c>
      <c r="N183" s="15">
        <v>2532</v>
      </c>
      <c r="O183" s="12">
        <v>45946</v>
      </c>
      <c r="P183" s="14" t="s">
        <v>297</v>
      </c>
      <c r="Q183" s="14" t="s">
        <v>192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 x14ac:dyDescent="0.35">
      <c r="A184" s="14" t="s">
        <v>266</v>
      </c>
      <c r="B184" s="14" t="s">
        <v>79</v>
      </c>
      <c r="C184" s="14" t="s">
        <v>267</v>
      </c>
      <c r="D184" s="89"/>
      <c r="E184" s="89"/>
      <c r="F184" s="89"/>
      <c r="G184" s="89" t="s">
        <v>40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63</v>
      </c>
      <c r="N184" s="15">
        <v>2533</v>
      </c>
      <c r="O184" s="12">
        <v>45946</v>
      </c>
      <c r="P184" s="14" t="s">
        <v>298</v>
      </c>
      <c r="Q184" s="14" t="s">
        <v>192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 x14ac:dyDescent="0.35">
      <c r="A185" s="14" t="s">
        <v>266</v>
      </c>
      <c r="B185" s="14" t="s">
        <v>79</v>
      </c>
      <c r="C185" s="14" t="s">
        <v>267</v>
      </c>
      <c r="D185" s="89"/>
      <c r="E185" s="89"/>
      <c r="F185" s="89"/>
      <c r="G185" s="89" t="s">
        <v>40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63</v>
      </c>
      <c r="N185" s="15">
        <v>2534</v>
      </c>
      <c r="O185" s="12">
        <v>45946</v>
      </c>
      <c r="P185" s="14" t="s">
        <v>299</v>
      </c>
      <c r="Q185" s="14" t="s">
        <v>192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customHeight="1" x14ac:dyDescent="0.35">
      <c r="A186" s="14" t="s">
        <v>129</v>
      </c>
      <c r="B186" s="14" t="s">
        <v>130</v>
      </c>
      <c r="C186" s="10" t="s">
        <v>366</v>
      </c>
      <c r="D186" s="89" t="s">
        <v>131</v>
      </c>
      <c r="E186" s="89">
        <v>0</v>
      </c>
      <c r="F186" s="89"/>
      <c r="G186" s="89" t="s">
        <v>273</v>
      </c>
      <c r="H186" s="89" t="s">
        <v>273</v>
      </c>
      <c r="I186" s="103"/>
      <c r="J186" s="96"/>
      <c r="K186" s="96"/>
      <c r="L186" s="89" t="s">
        <v>41</v>
      </c>
      <c r="M186" s="14" t="s">
        <v>63</v>
      </c>
      <c r="N186" s="15">
        <v>2545</v>
      </c>
      <c r="O186" s="12">
        <v>45964</v>
      </c>
      <c r="P186" s="14" t="s">
        <v>300</v>
      </c>
      <c r="Q186" s="14" t="s">
        <v>192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customHeight="1" x14ac:dyDescent="0.35">
      <c r="A187" s="14" t="s">
        <v>129</v>
      </c>
      <c r="B187" s="14" t="s">
        <v>130</v>
      </c>
      <c r="C187" s="10" t="s">
        <v>366</v>
      </c>
      <c r="D187" s="89"/>
      <c r="E187" s="89"/>
      <c r="F187" s="89"/>
      <c r="G187" s="89" t="s">
        <v>273</v>
      </c>
      <c r="H187" s="89" t="s">
        <v>273</v>
      </c>
      <c r="I187" s="103"/>
      <c r="J187" s="96">
        <v>0</v>
      </c>
      <c r="K187" s="96">
        <v>4837006172.4499998</v>
      </c>
      <c r="L187" s="89" t="s">
        <v>41</v>
      </c>
      <c r="M187" s="14" t="s">
        <v>63</v>
      </c>
      <c r="N187" s="15">
        <v>2546</v>
      </c>
      <c r="O187" s="12">
        <v>45964</v>
      </c>
      <c r="P187" s="14" t="s">
        <v>301</v>
      </c>
      <c r="Q187" s="14" t="s">
        <v>44</v>
      </c>
      <c r="R187" s="14" t="s">
        <v>45</v>
      </c>
      <c r="S187" s="96">
        <v>4837006172.4499998</v>
      </c>
      <c r="T187" s="96">
        <v>507885648.11000001</v>
      </c>
      <c r="U187" s="96">
        <f t="shared" si="71"/>
        <v>1015771296.2145</v>
      </c>
      <c r="V187" s="96">
        <f t="shared" si="70"/>
        <v>145110185.1735</v>
      </c>
      <c r="W187" s="96">
        <v>145110185.16999999</v>
      </c>
      <c r="X187" s="96">
        <v>169295216.03999999</v>
      </c>
      <c r="Y187" s="96"/>
      <c r="Z187" s="96"/>
      <c r="AA187" s="96">
        <v>5659297221.7700005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>+AC187+AE187+AG187+AH187+101000000</f>
        <v>5760297221.7699995</v>
      </c>
      <c r="AJ187" s="94">
        <f>+AA187-AI187</f>
        <v>-100999999.99999905</v>
      </c>
      <c r="AK187" s="90">
        <v>0</v>
      </c>
    </row>
    <row r="188" spans="1:37" ht="15" hidden="1" customHeight="1" x14ac:dyDescent="0.35">
      <c r="A188" s="34" t="s">
        <v>78</v>
      </c>
      <c r="B188" s="14" t="s">
        <v>79</v>
      </c>
      <c r="C188" s="34" t="s">
        <v>80</v>
      </c>
      <c r="D188" s="89"/>
      <c r="E188" s="89"/>
      <c r="F188" s="89" t="s">
        <v>273</v>
      </c>
      <c r="G188" s="89" t="s">
        <v>279</v>
      </c>
      <c r="H188" s="89" t="s">
        <v>279</v>
      </c>
      <c r="I188" s="103"/>
      <c r="J188" s="94">
        <v>48893832.039999999</v>
      </c>
      <c r="K188" s="94">
        <v>48893832.039999999</v>
      </c>
      <c r="L188" s="89" t="s">
        <v>41</v>
      </c>
      <c r="M188" s="34" t="s">
        <v>63</v>
      </c>
      <c r="N188" s="35">
        <v>2548</v>
      </c>
      <c r="O188" s="12">
        <v>46028</v>
      </c>
      <c r="P188" s="34" t="s">
        <v>302</v>
      </c>
      <c r="Q188" s="34" t="s">
        <v>44</v>
      </c>
      <c r="R188" s="34" t="s">
        <v>45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customHeight="1" x14ac:dyDescent="0.35">
      <c r="A189" s="14" t="s">
        <v>303</v>
      </c>
      <c r="B189" s="14" t="s">
        <v>130</v>
      </c>
      <c r="C189" s="10" t="s">
        <v>304</v>
      </c>
      <c r="D189" s="89"/>
      <c r="E189" s="89"/>
      <c r="F189" s="89"/>
      <c r="G189" s="89" t="s">
        <v>273</v>
      </c>
      <c r="H189" s="89" t="s">
        <v>273</v>
      </c>
      <c r="I189" s="103"/>
      <c r="J189" s="94"/>
      <c r="K189" s="94">
        <v>3390677291.5700002</v>
      </c>
      <c r="L189" s="89" t="s">
        <v>41</v>
      </c>
      <c r="M189" s="14" t="s">
        <v>63</v>
      </c>
      <c r="N189" s="15">
        <v>2555</v>
      </c>
      <c r="O189" s="12">
        <v>46022</v>
      </c>
      <c r="P189" s="14" t="s">
        <v>305</v>
      </c>
      <c r="Q189" s="14" t="s">
        <v>44</v>
      </c>
      <c r="R189" s="14" t="s">
        <v>45</v>
      </c>
      <c r="S189" s="94">
        <f>+K189</f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customHeight="1" x14ac:dyDescent="0.35">
      <c r="A190" s="7" t="s">
        <v>129</v>
      </c>
      <c r="B190" s="14" t="s">
        <v>130</v>
      </c>
      <c r="C190" s="10" t="s">
        <v>366</v>
      </c>
      <c r="D190" s="89" t="s">
        <v>131</v>
      </c>
      <c r="E190" s="89"/>
      <c r="F190" s="89"/>
      <c r="G190" s="89" t="s">
        <v>273</v>
      </c>
      <c r="H190" s="89" t="s">
        <v>273</v>
      </c>
      <c r="I190" s="103"/>
      <c r="J190" s="94"/>
      <c r="K190" s="94"/>
      <c r="L190" s="89" t="s">
        <v>41</v>
      </c>
      <c r="M190" s="7" t="s">
        <v>63</v>
      </c>
      <c r="N190" s="7">
        <v>2579</v>
      </c>
      <c r="O190" s="12">
        <v>46053</v>
      </c>
      <c r="P190" s="7" t="s">
        <v>301</v>
      </c>
      <c r="Q190" s="7" t="s">
        <v>192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customHeight="1" x14ac:dyDescent="0.35">
      <c r="A191" s="10" t="s">
        <v>303</v>
      </c>
      <c r="B191" s="14" t="s">
        <v>130</v>
      </c>
      <c r="C191" s="10" t="s">
        <v>304</v>
      </c>
      <c r="D191" s="89"/>
      <c r="E191" s="89"/>
      <c r="F191" s="89"/>
      <c r="G191" s="89" t="s">
        <v>273</v>
      </c>
      <c r="H191" s="89" t="s">
        <v>273</v>
      </c>
      <c r="I191" s="103"/>
      <c r="J191" s="94">
        <v>3390677291.5700002</v>
      </c>
      <c r="K191" s="94">
        <v>3390677291.5700002</v>
      </c>
      <c r="L191" s="89" t="s">
        <v>41</v>
      </c>
      <c r="M191" s="10" t="s">
        <v>63</v>
      </c>
      <c r="N191" s="11">
        <v>2580</v>
      </c>
      <c r="O191" s="12">
        <v>46053</v>
      </c>
      <c r="P191" s="10" t="s">
        <v>306</v>
      </c>
      <c r="Q191" s="34" t="s">
        <v>44</v>
      </c>
      <c r="R191" s="34" t="s">
        <v>45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 x14ac:dyDescent="0.35">
      <c r="A192" s="32" t="s">
        <v>114</v>
      </c>
      <c r="B192" s="14" t="s">
        <v>79</v>
      </c>
      <c r="C192" s="32" t="s">
        <v>115</v>
      </c>
      <c r="D192" s="32" t="s">
        <v>115</v>
      </c>
      <c r="E192" s="89"/>
      <c r="F192" s="89"/>
      <c r="G192" s="89" t="s">
        <v>47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63</v>
      </c>
      <c r="N192" s="33">
        <v>2593</v>
      </c>
      <c r="O192" s="12">
        <v>46108</v>
      </c>
      <c r="P192" s="32" t="s">
        <v>180</v>
      </c>
      <c r="Q192" s="17" t="s">
        <v>192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 x14ac:dyDescent="0.35">
      <c r="A193" s="27" t="s">
        <v>84</v>
      </c>
      <c r="B193" s="14" t="s">
        <v>79</v>
      </c>
      <c r="C193" s="27" t="s">
        <v>85</v>
      </c>
      <c r="D193" s="89"/>
      <c r="E193" s="89"/>
      <c r="F193" s="89"/>
      <c r="G193" s="89" t="s">
        <v>40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63</v>
      </c>
      <c r="N193" s="28">
        <v>2597</v>
      </c>
      <c r="O193" s="12">
        <v>46132</v>
      </c>
      <c r="P193" s="27" t="s">
        <v>202</v>
      </c>
      <c r="Q193" s="17" t="s">
        <v>192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 x14ac:dyDescent="0.35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 x14ac:dyDescent="0.35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2" si="84">IF(Q481="ANULADA","N/A",IF(ABS(AJ481)&gt;10,"Pendiente",IF(MAX(AB481,AD481,AF481)=0,"Pendiente",MAX(0,MAX(AB481,AD481,AF481)-O481))))</f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customHeight="1" x14ac:dyDescent="0.35">
      <c r="A533" s="10" t="s">
        <v>303</v>
      </c>
      <c r="B533" s="14" t="s">
        <v>130</v>
      </c>
      <c r="C533" s="10" t="s">
        <v>304</v>
      </c>
      <c r="D533" s="89" t="s">
        <v>307</v>
      </c>
      <c r="E533" s="89">
        <v>1</v>
      </c>
      <c r="F533" s="89" t="s">
        <v>308</v>
      </c>
      <c r="G533" s="89" t="s">
        <v>40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41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2" si="85">+S533*21%</f>
        <v>0</v>
      </c>
      <c r="V533" s="94">
        <f t="shared" ref="V533:V542" si="86">+S533*3%</f>
        <v>0</v>
      </c>
      <c r="W533" s="94">
        <f t="shared" ref="W533:W542" si="87">+S533*2.5%</f>
        <v>0</v>
      </c>
      <c r="X533" s="94">
        <f t="shared" ref="X533:X542" si="88">IF(A533="00-175",S533*0.06,0)</f>
        <v>0</v>
      </c>
      <c r="Y533" s="94"/>
      <c r="Z533" s="94"/>
      <c r="AA533" s="94">
        <f t="shared" ref="AA533:AA542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2" si="90">+AC533+AE533+AG533+AH533</f>
        <v>0</v>
      </c>
      <c r="AJ533" s="94">
        <f t="shared" ref="AJ533:AJ542" si="91">+AA533-AI533</f>
        <v>0</v>
      </c>
      <c r="AK533" s="90" t="s">
        <v>45</v>
      </c>
    </row>
    <row r="534" spans="1:37" ht="15" customHeight="1" x14ac:dyDescent="0.35">
      <c r="A534" s="10" t="s">
        <v>303</v>
      </c>
      <c r="B534" s="14" t="s">
        <v>130</v>
      </c>
      <c r="C534" s="10" t="s">
        <v>304</v>
      </c>
      <c r="D534" s="89" t="s">
        <v>307</v>
      </c>
      <c r="E534" s="89">
        <v>1</v>
      </c>
      <c r="F534" s="89" t="s">
        <v>309</v>
      </c>
      <c r="G534" s="89" t="s">
        <v>47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41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45</v>
      </c>
    </row>
    <row r="535" spans="1:37" ht="15" customHeight="1" x14ac:dyDescent="0.35">
      <c r="A535" s="10" t="s">
        <v>303</v>
      </c>
      <c r="B535" s="14" t="s">
        <v>130</v>
      </c>
      <c r="C535" s="10" t="s">
        <v>304</v>
      </c>
      <c r="D535" s="89" t="s">
        <v>307</v>
      </c>
      <c r="E535" s="89">
        <v>2</v>
      </c>
      <c r="F535" s="89" t="s">
        <v>310</v>
      </c>
      <c r="G535" s="89" t="s">
        <v>47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41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45</v>
      </c>
    </row>
    <row r="536" spans="1:37" ht="15" customHeight="1" x14ac:dyDescent="0.35">
      <c r="A536" s="10" t="s">
        <v>303</v>
      </c>
      <c r="B536" s="14" t="s">
        <v>130</v>
      </c>
      <c r="C536" s="10" t="s">
        <v>304</v>
      </c>
      <c r="D536" s="89" t="s">
        <v>307</v>
      </c>
      <c r="E536" s="89">
        <v>2</v>
      </c>
      <c r="F536" s="89" t="s">
        <v>311</v>
      </c>
      <c r="G536" s="89" t="s">
        <v>47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41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45</v>
      </c>
    </row>
    <row r="537" spans="1:37" ht="15" customHeight="1" x14ac:dyDescent="0.35">
      <c r="A537" s="10" t="s">
        <v>303</v>
      </c>
      <c r="B537" s="14" t="s">
        <v>130</v>
      </c>
      <c r="C537" s="10" t="s">
        <v>304</v>
      </c>
      <c r="D537" s="89" t="s">
        <v>307</v>
      </c>
      <c r="E537" s="89">
        <v>3</v>
      </c>
      <c r="F537" s="89" t="s">
        <v>312</v>
      </c>
      <c r="G537" s="89" t="s">
        <v>47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41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45</v>
      </c>
    </row>
    <row r="538" spans="1:37" ht="15" customHeight="1" x14ac:dyDescent="0.35">
      <c r="A538" s="10" t="s">
        <v>303</v>
      </c>
      <c r="B538" s="14" t="s">
        <v>130</v>
      </c>
      <c r="C538" s="10" t="s">
        <v>304</v>
      </c>
      <c r="D538" s="89" t="s">
        <v>307</v>
      </c>
      <c r="E538" s="89">
        <v>3</v>
      </c>
      <c r="F538" s="89" t="s">
        <v>313</v>
      </c>
      <c r="G538" s="89" t="s">
        <v>47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41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45</v>
      </c>
    </row>
    <row r="539" spans="1:37" ht="15" customHeight="1" x14ac:dyDescent="0.35">
      <c r="A539" s="10" t="s">
        <v>303</v>
      </c>
      <c r="B539" s="14" t="s">
        <v>130</v>
      </c>
      <c r="C539" s="10" t="s">
        <v>304</v>
      </c>
      <c r="D539" s="89" t="s">
        <v>307</v>
      </c>
      <c r="E539" s="89">
        <v>4</v>
      </c>
      <c r="F539" s="89" t="s">
        <v>314</v>
      </c>
      <c r="G539" s="89" t="s">
        <v>47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41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45</v>
      </c>
    </row>
    <row r="540" spans="1:37" ht="15" customHeight="1" x14ac:dyDescent="0.35">
      <c r="A540" s="10" t="s">
        <v>303</v>
      </c>
      <c r="B540" s="14" t="s">
        <v>130</v>
      </c>
      <c r="C540" s="10" t="s">
        <v>304</v>
      </c>
      <c r="D540" s="89" t="s">
        <v>307</v>
      </c>
      <c r="E540" s="89">
        <v>4</v>
      </c>
      <c r="F540" s="89" t="s">
        <v>315</v>
      </c>
      <c r="G540" s="89" t="s">
        <v>47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41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45</v>
      </c>
    </row>
    <row r="541" spans="1:37" ht="15" customHeight="1" x14ac:dyDescent="0.35">
      <c r="A541" s="10" t="s">
        <v>303</v>
      </c>
      <c r="B541" s="14" t="s">
        <v>130</v>
      </c>
      <c r="C541" s="10" t="s">
        <v>304</v>
      </c>
      <c r="D541" s="89" t="s">
        <v>307</v>
      </c>
      <c r="E541" s="89">
        <v>5</v>
      </c>
      <c r="F541" s="89" t="s">
        <v>316</v>
      </c>
      <c r="G541" s="89" t="s">
        <v>47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233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customHeight="1" x14ac:dyDescent="0.35">
      <c r="A542" s="10" t="s">
        <v>303</v>
      </c>
      <c r="B542" s="14" t="s">
        <v>130</v>
      </c>
      <c r="C542" s="10" t="s">
        <v>304</v>
      </c>
      <c r="D542" s="89" t="s">
        <v>307</v>
      </c>
      <c r="E542" s="89">
        <v>5</v>
      </c>
      <c r="F542" s="89" t="s">
        <v>317</v>
      </c>
      <c r="G542" s="89" t="s">
        <v>47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233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  <row r="543" spans="1:37" ht="15" customHeight="1" x14ac:dyDescent="0.35">
      <c r="A543" s="10" t="s">
        <v>303</v>
      </c>
      <c r="B543" s="14" t="s">
        <v>130</v>
      </c>
      <c r="C543" s="10" t="s">
        <v>304</v>
      </c>
      <c r="D543" s="89" t="s">
        <v>307</v>
      </c>
      <c r="E543" s="89">
        <v>6</v>
      </c>
      <c r="F543" s="89" t="s">
        <v>316</v>
      </c>
      <c r="G543" s="89" t="s">
        <v>47</v>
      </c>
      <c r="H543" s="92">
        <v>46143</v>
      </c>
      <c r="I543" s="103">
        <f>+J543-K543</f>
        <v>424156102.47000003</v>
      </c>
      <c r="J543" s="116">
        <v>792977332.10000002</v>
      </c>
      <c r="K543" s="116">
        <v>368821229.63</v>
      </c>
      <c r="L543" s="89" t="s">
        <v>233</v>
      </c>
      <c r="M543" s="10"/>
      <c r="N543" s="33"/>
      <c r="O543" s="12"/>
      <c r="P543" s="10"/>
      <c r="Q543" s="10"/>
      <c r="R543" s="10"/>
      <c r="S543" s="94"/>
      <c r="T543" s="94"/>
      <c r="U543" s="94">
        <f t="shared" ref="U543:U544" si="93">+S543*21%</f>
        <v>0</v>
      </c>
      <c r="V543" s="94">
        <f t="shared" ref="V543:V544" si="94">+S543*3%</f>
        <v>0</v>
      </c>
      <c r="W543" s="94">
        <f t="shared" ref="W543:W544" si="95">+S543*2.5%</f>
        <v>0</v>
      </c>
      <c r="X543" s="94">
        <f t="shared" ref="X543:X544" si="96">IF(A543="00-175",S543*0.06,0)</f>
        <v>0</v>
      </c>
      <c r="Y543" s="94"/>
      <c r="Z543" s="94"/>
      <c r="AA543" s="94">
        <f t="shared" ref="AA543:AA544" si="97">+S543+T543+U543+W543+X543+V543+Y543</f>
        <v>0</v>
      </c>
      <c r="AB543" s="10"/>
      <c r="AC543" s="94"/>
      <c r="AD543" s="10"/>
      <c r="AE543" s="94"/>
      <c r="AF543" s="10"/>
      <c r="AG543" s="94"/>
      <c r="AH543" s="94"/>
      <c r="AI543" s="94">
        <f t="shared" ref="AI543:AI544" si="98">+AC543+AE543+AG543+AH543</f>
        <v>0</v>
      </c>
      <c r="AJ543" s="94">
        <f t="shared" ref="AJ543:AJ544" si="99">+AA543-AI543</f>
        <v>0</v>
      </c>
      <c r="AK543" s="90" t="str">
        <f t="shared" ref="AK543:AK544" si="100">IF(Q543="ANULADA","N/A",IF(ABS(AJ543)&gt;10,"Pendiente",IF(MAX(AB543,AD543,AF543)=0,"Pendiente",MAX(0,MAX(AB543,AD543,AF543)-O543))))</f>
        <v>Pendiente</v>
      </c>
    </row>
    <row r="544" spans="1:37" ht="15" customHeight="1" x14ac:dyDescent="0.35">
      <c r="A544" s="10" t="s">
        <v>303</v>
      </c>
      <c r="B544" s="14" t="s">
        <v>130</v>
      </c>
      <c r="C544" s="10" t="s">
        <v>304</v>
      </c>
      <c r="D544" s="89" t="s">
        <v>307</v>
      </c>
      <c r="E544" s="89">
        <v>6</v>
      </c>
      <c r="F544" s="89" t="s">
        <v>317</v>
      </c>
      <c r="G544" s="89" t="s">
        <v>47</v>
      </c>
      <c r="H544" s="92">
        <v>46143</v>
      </c>
      <c r="I544" s="103">
        <f t="shared" ref="I544" si="101">+J544</f>
        <v>56045106.539999999</v>
      </c>
      <c r="J544" s="116">
        <v>56045106.539999999</v>
      </c>
      <c r="K544" s="116">
        <v>0</v>
      </c>
      <c r="L544" s="89" t="s">
        <v>233</v>
      </c>
      <c r="M544" s="10"/>
      <c r="N544" s="33"/>
      <c r="O544" s="12"/>
      <c r="P544" s="10"/>
      <c r="Q544" s="10"/>
      <c r="R544" s="10"/>
      <c r="S544" s="94"/>
      <c r="T544" s="94"/>
      <c r="U544" s="94">
        <f t="shared" si="93"/>
        <v>0</v>
      </c>
      <c r="V544" s="94">
        <f t="shared" si="94"/>
        <v>0</v>
      </c>
      <c r="W544" s="94">
        <f t="shared" si="95"/>
        <v>0</v>
      </c>
      <c r="X544" s="94">
        <f t="shared" si="96"/>
        <v>0</v>
      </c>
      <c r="Y544" s="94"/>
      <c r="Z544" s="94"/>
      <c r="AA544" s="94">
        <f t="shared" si="97"/>
        <v>0</v>
      </c>
      <c r="AB544" s="10"/>
      <c r="AC544" s="94"/>
      <c r="AD544" s="10"/>
      <c r="AE544" s="94"/>
      <c r="AF544" s="10"/>
      <c r="AG544" s="94"/>
      <c r="AH544" s="94"/>
      <c r="AI544" s="94">
        <f t="shared" si="98"/>
        <v>0</v>
      </c>
      <c r="AJ544" s="94">
        <f t="shared" si="99"/>
        <v>0</v>
      </c>
      <c r="AK544" s="90" t="str">
        <f t="shared" si="100"/>
        <v>Pendiente</v>
      </c>
    </row>
  </sheetData>
  <autoFilter ref="A1:AL542" xr:uid="{5A8C97C7-1B0D-4A6A-98DD-BAF1D96B2F33}">
    <filterColumn colId="0">
      <filters>
        <filter val="00-177"/>
        <filter val="00-178"/>
      </filters>
    </filterColumn>
  </autoFilter>
  <conditionalFormatting sqref="A2:AK542">
    <cfRule type="expression" dxfId="13" priority="8" stopIfTrue="1">
      <formula>$Q2="ANULADA"</formula>
    </cfRule>
    <cfRule type="expression" dxfId="12" priority="9" stopIfTrue="1">
      <formula>LEFT($M2,2)="NC"</formula>
    </cfRule>
    <cfRule type="expression" dxfId="11" priority="10" stopIfTrue="1">
      <formula>AND($Q2&lt;&gt;"ANULADA",$AI2&gt;0,$AJ2&lt;-10)</formula>
    </cfRule>
    <cfRule type="expression" dxfId="10" priority="11" stopIfTrue="1">
      <formula>AND($Q2&lt;&gt;"ANULADA",$AI2&gt;0,ABS($AJ2)&lt;=10)</formula>
    </cfRule>
    <cfRule type="expression" dxfId="9" priority="12" stopIfTrue="1">
      <formula>AND($Q2&lt;&gt;"ANULADA",$AI2&gt;0,$AJ2&gt;10)</formula>
    </cfRule>
    <cfRule type="expression" dxfId="8" priority="13" stopIfTrue="1">
      <formula>AND($Q2&lt;&gt;"ANULADA",$AA2&gt;0,OR($AI2=0,$AI2=""))</formula>
    </cfRule>
    <cfRule type="expression" dxfId="7" priority="14" stopIfTrue="1">
      <formula>$A2&lt;&gt;""</formula>
    </cfRule>
  </conditionalFormatting>
  <conditionalFormatting sqref="A543:AK544">
    <cfRule type="expression" dxfId="6" priority="1" stopIfTrue="1">
      <formula>$Q543="ANULADA"</formula>
    </cfRule>
    <cfRule type="expression" dxfId="5" priority="2" stopIfTrue="1">
      <formula>LEFT($M543,2)="NC"</formula>
    </cfRule>
    <cfRule type="expression" dxfId="4" priority="3" stopIfTrue="1">
      <formula>AND($Q543&lt;&gt;"ANULADA",$AI543&gt;0,$AJ543&lt;-10)</formula>
    </cfRule>
    <cfRule type="expression" dxfId="3" priority="4" stopIfTrue="1">
      <formula>AND($Q543&lt;&gt;"ANULADA",$AI543&gt;0,ABS($AJ543)&lt;=10)</formula>
    </cfRule>
    <cfRule type="expression" dxfId="2" priority="5" stopIfTrue="1">
      <formula>AND($Q543&lt;&gt;"ANULADA",$AI543&gt;0,$AJ543&gt;10)</formula>
    </cfRule>
    <cfRule type="expression" dxfId="1" priority="6" stopIfTrue="1">
      <formula>AND($Q543&lt;&gt;"ANULADA",$AA543&gt;0,OR($AI543=0,$AI543=""))</formula>
    </cfRule>
    <cfRule type="expression" dxfId="0" priority="7" stopIfTrue="1">
      <formula>$A543&lt;&gt;""</formula>
    </cfRule>
  </conditionalFormatting>
  <dataValidations count="1">
    <dataValidation type="list" allowBlank="1" showInputMessage="1" showErrorMessage="1" sqref="L2:L544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J10" sqref="J10:J27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318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319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320</v>
      </c>
      <c r="B4" s="40" t="s">
        <v>321</v>
      </c>
    </row>
    <row r="5" spans="1:11" x14ac:dyDescent="0.35">
      <c r="A5" s="41" t="s">
        <v>322</v>
      </c>
      <c r="B5" s="42">
        <v>0.255</v>
      </c>
      <c r="C5" s="43" t="s">
        <v>323</v>
      </c>
    </row>
    <row r="6" spans="1:11" x14ac:dyDescent="0.35">
      <c r="A6" s="41" t="s">
        <v>324</v>
      </c>
      <c r="B6" s="44">
        <v>60</v>
      </c>
      <c r="C6" s="43" t="s">
        <v>325</v>
      </c>
    </row>
    <row r="7" spans="1:11" x14ac:dyDescent="0.35">
      <c r="A7" s="45" t="s">
        <v>326</v>
      </c>
      <c r="B7" s="46">
        <f ca="1">TODAY()</f>
        <v>46174</v>
      </c>
    </row>
    <row r="8" spans="1:11" ht="10" customHeight="1" x14ac:dyDescent="0.35"/>
    <row r="9" spans="1:11" ht="42" customHeight="1" x14ac:dyDescent="0.35">
      <c r="A9" s="47" t="s">
        <v>327</v>
      </c>
      <c r="B9" s="47" t="s">
        <v>328</v>
      </c>
      <c r="C9" s="47" t="s">
        <v>329</v>
      </c>
      <c r="D9" s="47" t="s">
        <v>330</v>
      </c>
      <c r="E9" s="47" t="s">
        <v>331</v>
      </c>
      <c r="F9" s="47" t="s">
        <v>332</v>
      </c>
      <c r="G9" s="47" t="s">
        <v>333</v>
      </c>
      <c r="H9" s="47" t="s">
        <v>334</v>
      </c>
      <c r="I9" s="47" t="s">
        <v>335</v>
      </c>
      <c r="J9" s="47" t="s">
        <v>336</v>
      </c>
      <c r="K9" s="47" t="s">
        <v>337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79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3109075.4085826031</v>
      </c>
      <c r="K10" s="55">
        <f t="shared" ref="K10:K27" ca="1" si="3">H10+J10</f>
        <v>53511585.918582603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79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41777.474464109589</v>
      </c>
      <c r="K11" s="61">
        <f t="shared" ca="1" si="3"/>
        <v>719049.4344641096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79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1091812.5174821918</v>
      </c>
      <c r="K12" s="55">
        <f t="shared" ca="1" si="3"/>
        <v>18791637.91748219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79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62666.211696164391</v>
      </c>
      <c r="K13" s="61">
        <f t="shared" ca="1" si="3"/>
        <v>1078574.1516961644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79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1681153.42439137</v>
      </c>
      <c r="K14" s="55">
        <f t="shared" ca="1" si="3"/>
        <v>28935028.614391372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79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62666.211696164391</v>
      </c>
      <c r="K15" s="61">
        <f t="shared" ca="1" si="3"/>
        <v>1078574.1516961644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79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1765899.0312887675</v>
      </c>
      <c r="K16" s="55">
        <f t="shared" ca="1" si="3"/>
        <v>30393620.391288769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79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14705.71604630137</v>
      </c>
      <c r="K17" s="61">
        <f t="shared" ca="1" si="3"/>
        <v>253106.17604630135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79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416892.34416328766</v>
      </c>
      <c r="K18" s="55">
        <f t="shared" ca="1" si="3"/>
        <v>7175306.9841632871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63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21863.199916849317</v>
      </c>
      <c r="K19" s="61">
        <f t="shared" ca="1" si="3"/>
        <v>466311.4299168493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63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631234.31210383575</v>
      </c>
      <c r="K20" s="55">
        <f t="shared" ca="1" si="3"/>
        <v>13463343.692103837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58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8335.4789383561656</v>
      </c>
      <c r="K21" s="61">
        <f t="shared" ca="1" si="3"/>
        <v>192391.72893835616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58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245727.13526958911</v>
      </c>
      <c r="K22" s="55">
        <f t="shared" ca="1" si="3"/>
        <v>5671643.9152695891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58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55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16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2538.3782202739726</v>
      </c>
      <c r="K25" s="61">
        <f t="shared" ca="1" si="3"/>
        <v>205719.96822027396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16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16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78285.275815890418</v>
      </c>
      <c r="K27" s="61">
        <f t="shared" ca="1" si="3"/>
        <v>6344540.9058158901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338</v>
      </c>
      <c r="B32" s="77"/>
      <c r="C32" s="77"/>
      <c r="D32" s="77"/>
      <c r="E32" s="77"/>
      <c r="F32" s="77"/>
      <c r="G32" s="78">
        <f ca="1">IF(COUNTA(F10:F31)&gt;0,AVERAGE(G10:G31),AVERAGE(G10:G31))</f>
        <v>50.636363636363633</v>
      </c>
      <c r="H32" s="79">
        <f>SUBTOTAL(109,H10:H31)</f>
        <v>311070314.69999999</v>
      </c>
      <c r="I32" s="77"/>
      <c r="J32" s="79">
        <f ca="1">SUBTOTAL(109,J10:J31)</f>
        <v>9234632.1200757548</v>
      </c>
      <c r="K32" s="79">
        <f ca="1">SUBTOTAL(109,K10:K31)</f>
        <v>320304946.82007575</v>
      </c>
    </row>
    <row r="34" spans="1:2" x14ac:dyDescent="0.35">
      <c r="A34" s="80" t="s">
        <v>339</v>
      </c>
    </row>
    <row r="35" spans="1:2" ht="15.5" x14ac:dyDescent="0.35">
      <c r="A35" s="41" t="s">
        <v>340</v>
      </c>
      <c r="B35" s="81">
        <f>H32</f>
        <v>311070314.69999999</v>
      </c>
    </row>
    <row r="36" spans="1:2" ht="15.5" x14ac:dyDescent="0.35">
      <c r="A36" s="41" t="s">
        <v>341</v>
      </c>
      <c r="B36" s="81">
        <f ca="1">J32</f>
        <v>9234632.1200757548</v>
      </c>
    </row>
    <row r="37" spans="1:2" ht="15.5" x14ac:dyDescent="0.35">
      <c r="A37" s="82" t="s">
        <v>342</v>
      </c>
      <c r="B37" s="83">
        <f ca="1">B35+B36</f>
        <v>320304946.82007575</v>
      </c>
    </row>
    <row r="38" spans="1:2" x14ac:dyDescent="0.35">
      <c r="A38" s="45" t="s">
        <v>343</v>
      </c>
      <c r="B38" s="84">
        <f ca="1">COUNTIF(G10:G31,"&gt;"&amp;0)</f>
        <v>18</v>
      </c>
    </row>
    <row r="39" spans="1:2" x14ac:dyDescent="0.35">
      <c r="A39" s="45" t="s">
        <v>344</v>
      </c>
      <c r="B39" s="85">
        <f ca="1">G32</f>
        <v>50.636363636363633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345</v>
      </c>
      <c r="D1" s="105" t="s">
        <v>346</v>
      </c>
      <c r="E1" s="105" t="s">
        <v>347</v>
      </c>
      <c r="F1" s="105" t="s">
        <v>348</v>
      </c>
      <c r="G1" s="106" t="s">
        <v>349</v>
      </c>
      <c r="H1" s="106" t="s">
        <v>350</v>
      </c>
      <c r="I1" s="106" t="s">
        <v>351</v>
      </c>
      <c r="J1" s="106" t="s">
        <v>352</v>
      </c>
      <c r="K1" s="107" t="s">
        <v>353</v>
      </c>
    </row>
    <row r="2" spans="1:11" x14ac:dyDescent="0.35">
      <c r="A2" s="108" t="s">
        <v>78</v>
      </c>
      <c r="B2" s="109" t="s">
        <v>80</v>
      </c>
      <c r="C2" s="110" t="s">
        <v>354</v>
      </c>
      <c r="D2" s="108">
        <v>1</v>
      </c>
      <c r="E2" s="108" t="s">
        <v>355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78</v>
      </c>
      <c r="B3" s="109" t="s">
        <v>80</v>
      </c>
      <c r="C3" s="110" t="s">
        <v>356</v>
      </c>
      <c r="D3" s="108">
        <v>2</v>
      </c>
      <c r="E3" s="108" t="s">
        <v>357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78</v>
      </c>
      <c r="B4" s="109" t="s">
        <v>80</v>
      </c>
      <c r="C4" s="110" t="s">
        <v>358</v>
      </c>
      <c r="D4" s="108">
        <v>3</v>
      </c>
      <c r="E4" s="108" t="s">
        <v>359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78</v>
      </c>
      <c r="B5" s="109" t="s">
        <v>80</v>
      </c>
      <c r="C5" s="110" t="s">
        <v>360</v>
      </c>
      <c r="D5" s="108">
        <v>4</v>
      </c>
      <c r="E5" s="108" t="s">
        <v>361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36</v>
      </c>
      <c r="B6" s="109" t="s">
        <v>38</v>
      </c>
      <c r="C6" s="110" t="s">
        <v>362</v>
      </c>
      <c r="D6" s="108">
        <v>1</v>
      </c>
      <c r="E6" s="108" t="s">
        <v>363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 x14ac:dyDescent="0.35">
      <c r="A7" s="108" t="s">
        <v>303</v>
      </c>
      <c r="B7" s="109" t="s">
        <v>304</v>
      </c>
      <c r="C7" s="110" t="s">
        <v>362</v>
      </c>
      <c r="D7" s="108">
        <v>1</v>
      </c>
      <c r="E7" s="108" t="s">
        <v>364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4021518495.6900005</v>
      </c>
      <c r="J7" s="113">
        <f>H7-I7</f>
        <v>-480200193.41012859</v>
      </c>
      <c r="K7" s="114">
        <f>IFERROR(I7/H7,0)</f>
        <v>1.1355992747392911</v>
      </c>
    </row>
    <row r="8" spans="1:11" x14ac:dyDescent="0.35">
      <c r="A8" s="108" t="s">
        <v>129</v>
      </c>
      <c r="B8" s="109" t="s">
        <v>366</v>
      </c>
      <c r="C8" s="110" t="s">
        <v>362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530 con Mora - Calc de int</vt:lpstr>
      <vt:lpstr>Anticipos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2026-06-01T17:12:53Z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