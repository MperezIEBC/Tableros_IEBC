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530 con Mora - Calc de int" sheetId="2" state="visible" r:id="rId2"/>
    <sheet xmlns:r="http://schemas.openxmlformats.org/officeDocument/2006/relationships" name="Anticipos" sheetId="3" state="visible" r:id="rId3"/>
    <sheet xmlns:r="http://schemas.openxmlformats.org/officeDocument/2006/relationships" name="Montos contractuales" sheetId="4" state="visible" r:id="rId4"/>
  </sheets>
  <definedNames>
    <definedName name="_xlnm._FilterDatabase" localSheetId="0" hidden="1">'Master'!$A$1:$AL$563</definedName>
  </definedNames>
  <calcPr calcId="0" fullCalcOnLoad="1" iterateDelta="0.0001"/>
</workbook>
</file>

<file path=xl/styles.xml><?xml version="1.0" encoding="utf-8"?>
<styleSheet xmlns="http://schemas.openxmlformats.org/spreadsheetml/2006/main">
  <numFmts count="8">
    <numFmt numFmtId="164" formatCode="_-&quot;$ &quot;* #,##0.00_-;&quot;-$ &quot;* #,##0.00_-;_-&quot;$ &quot;* \-??_-;_-@_-"/>
    <numFmt numFmtId="165" formatCode="m/d/yyyy"/>
    <numFmt numFmtId="166" formatCode="_(\$* #,##0.00_);_(\$* \(#,##0.00\);_(\$* \-??_);_(@_)"/>
    <numFmt numFmtId="167" formatCode="mm/yyyy"/>
    <numFmt numFmtId="168" formatCode="\$#,##0.00"/>
    <numFmt numFmtId="169" formatCode="0.0%"/>
    <numFmt numFmtId="170" formatCode="0.0"/>
    <numFmt numFmtId="171" formatCode="_-[$$-409]* #,##0.00_ ;_-[$$-409]* \-#,##0.00\ ;_-[$$-409]* \-??_ ;_-@_ "/>
  </numFmts>
  <fonts count="32">
    <font>
      <name val="Calibri"/>
      <charset val="1"/>
      <family val="2"/>
      <color theme="1"/>
      <sz val="11"/>
    </font>
    <font>
      <name val="Calibri"/>
      <charset val="1"/>
      <family val="2"/>
      <color theme="10"/>
      <sz val="11"/>
      <u val="single"/>
    </font>
    <font>
      <name val="Arial"/>
      <charset val="1"/>
      <family val="2"/>
      <sz val="10"/>
    </font>
    <font>
      <name val="Calibri"/>
      <charset val="1"/>
      <family val="2"/>
      <b val="1"/>
      <color theme="0"/>
      <sz val="11"/>
    </font>
    <font>
      <name val="Calibri"/>
      <charset val="1"/>
      <family val="2"/>
      <b val="1"/>
      <color rgb="FFFFFFFF"/>
      <sz val="11"/>
    </font>
    <font>
      <name val="Arial"/>
      <charset val="1"/>
      <b val="1"/>
      <color rgb="FFFFFFFF"/>
      <sz val="10"/>
    </font>
    <font>
      <name val="Arial"/>
      <charset val="1"/>
      <family val="2"/>
      <b val="1"/>
      <color theme="0"/>
      <sz val="10"/>
    </font>
    <font>
      <name val="Calibri"/>
      <charset val="1"/>
      <family val="2"/>
      <color rgb="FF000000"/>
      <sz val="11"/>
    </font>
    <font>
      <name val="Arial"/>
      <charset val="1"/>
      <color rgb="FF0000FF"/>
      <sz val="10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b val="1"/>
      <strike val="1"/>
      <color rgb="FF9C0006"/>
      <sz val="11"/>
    </font>
    <font>
      <name val="Calibri"/>
      <charset val="1"/>
      <family val="2"/>
      <sz val="11"/>
    </font>
    <font>
      <name val="Calibri"/>
      <charset val="1"/>
      <family val="2"/>
      <b val="1"/>
      <color rgb="FF9C0006"/>
      <sz val="11"/>
    </font>
    <font>
      <name val="Calibri"/>
      <charset val="1"/>
      <family val="2"/>
      <color rgb="FF9C0006"/>
      <sz val="11"/>
    </font>
    <font>
      <name val="Arial"/>
      <family val="2"/>
      <sz val="10"/>
    </font>
    <font>
      <name val="Calibri"/>
      <charset val="1"/>
      <family val="2"/>
      <b val="1"/>
      <color rgb="FFFFFFFF"/>
      <sz val="13"/>
    </font>
    <font>
      <name val="Calibri"/>
      <charset val="1"/>
      <family val="2"/>
      <i val="1"/>
      <color rgb="FF1F3864"/>
      <sz val="10"/>
    </font>
    <font>
      <name val="Calibri"/>
      <charset val="1"/>
      <family val="2"/>
      <b val="1"/>
      <color rgb="FF1F3864"/>
      <sz val="11"/>
    </font>
    <font>
      <name val="Calibri"/>
      <charset val="1"/>
      <family val="2"/>
      <b val="1"/>
      <color theme="1"/>
      <sz val="10"/>
    </font>
    <font>
      <name val="Calibri"/>
      <charset val="1"/>
      <family val="2"/>
      <b val="1"/>
      <color rgb="FF0000FF"/>
      <sz val="11"/>
    </font>
    <font>
      <name val="Calibri"/>
      <charset val="1"/>
      <family val="2"/>
      <i val="1"/>
      <color rgb="FF999999"/>
      <sz val="9"/>
    </font>
    <font>
      <name val="Calibri"/>
      <charset val="1"/>
      <family val="2"/>
      <color theme="1"/>
      <sz val="10"/>
    </font>
    <font>
      <name val="Calibri"/>
      <charset val="1"/>
      <family val="2"/>
      <b val="1"/>
      <color rgb="FFFFFFFF"/>
      <sz val="9"/>
    </font>
    <font>
      <name val="Calibri"/>
      <charset val="1"/>
      <family val="2"/>
      <color rgb="FF333333"/>
      <sz val="9"/>
    </font>
    <font>
      <name val="Calibri"/>
      <charset val="1"/>
      <family val="2"/>
      <color rgb="FF0000FF"/>
      <sz val="9"/>
    </font>
    <font>
      <name val="Calibri"/>
      <charset val="1"/>
      <family val="2"/>
      <color rgb="FFC00000"/>
      <sz val="9"/>
    </font>
    <font>
      <name val="Calibri"/>
      <charset val="1"/>
      <family val="2"/>
      <b val="1"/>
      <color rgb="FF333333"/>
      <sz val="9"/>
    </font>
    <font>
      <name val="Calibri"/>
      <charset val="1"/>
      <family val="2"/>
      <b val="1"/>
      <color rgb="FFFFFFFF"/>
      <sz val="10"/>
    </font>
    <font>
      <name val="Calibri"/>
      <charset val="1"/>
      <family val="2"/>
      <b val="1"/>
      <color rgb="FFC00000"/>
      <sz val="12"/>
    </font>
    <font>
      <name val="Calibri"/>
      <charset val="1"/>
      <family val="2"/>
      <b val="1"/>
      <color rgb="FFC00000"/>
      <sz val="10"/>
    </font>
    <font>
      <name val="Arial"/>
      <charset val="1"/>
      <color rgb="FF000000"/>
      <sz val="10"/>
    </font>
    <font>
      <name val="Calibri"/>
      <charset val="1"/>
      <family val="2"/>
      <color theme="1"/>
      <sz val="11"/>
    </font>
  </fonts>
  <fills count="25">
    <fill>
      <patternFill/>
    </fill>
    <fill>
      <patternFill patternType="gray125"/>
    </fill>
    <fill>
      <patternFill patternType="solid">
        <fgColor theme="4" tint="-0.249977111117893"/>
        <bgColor rgb="FF305496"/>
      </patternFill>
    </fill>
    <fill>
      <patternFill patternType="solid">
        <fgColor rgb="FF305496"/>
        <bgColor rgb="FF2F5597"/>
      </patternFill>
    </fill>
    <fill>
      <patternFill patternType="solid">
        <fgColor rgb="FFDDEEFF"/>
        <bgColor rgb="FFE0F7FA"/>
      </patternFill>
    </fill>
    <fill>
      <patternFill patternType="solid">
        <fgColor rgb="FFFFFFFF"/>
        <bgColor rgb="FFFFFDE7"/>
      </patternFill>
    </fill>
    <fill>
      <patternFill patternType="solid">
        <fgColor rgb="FFFFD7D7"/>
        <bgColor rgb="FFFFCCCC"/>
      </patternFill>
    </fill>
    <fill>
      <patternFill patternType="solid">
        <fgColor rgb="FFE0F7FA"/>
        <bgColor rgb="FFDDEEFF"/>
      </patternFill>
    </fill>
    <fill>
      <patternFill patternType="solid">
        <fgColor rgb="FFBDD7EE"/>
        <bgColor rgb="FFB2EBF2"/>
      </patternFill>
    </fill>
    <fill>
      <patternFill patternType="solid">
        <fgColor rgb="FFC8E6C9"/>
        <bgColor rgb="FFC6EFCE"/>
      </patternFill>
    </fill>
    <fill>
      <patternFill patternType="solid">
        <fgColor rgb="FFFCE4D6"/>
        <bgColor rgb="FFFCE4EC"/>
      </patternFill>
    </fill>
    <fill>
      <patternFill patternType="solid">
        <fgColor rgb="FFF4B8A0"/>
        <bgColor rgb="FFFFC7CE"/>
      </patternFill>
    </fill>
    <fill>
      <patternFill patternType="solid">
        <fgColor rgb="FFB2EBF2"/>
        <bgColor rgb="FFC6EFCE"/>
      </patternFill>
    </fill>
    <fill>
      <patternFill patternType="solid">
        <fgColor rgb="FFFFF2CC"/>
        <bgColor rgb="FFFCE4D6"/>
      </patternFill>
    </fill>
    <fill>
      <patternFill patternType="solid">
        <fgColor rgb="FFFFE082"/>
        <bgColor rgb="FFFCE4D6"/>
      </patternFill>
    </fill>
    <fill>
      <patternFill patternType="solid">
        <fgColor rgb="FFE8F5E9"/>
        <bgColor rgb="FFF2F2F2"/>
      </patternFill>
    </fill>
    <fill>
      <patternFill patternType="solid">
        <fgColor rgb="FFFFC7CE"/>
        <bgColor rgb="FFFFCCCC"/>
      </patternFill>
    </fill>
    <fill>
      <patternFill patternType="solid">
        <fgColor rgb="FFF3E5F5"/>
        <bgColor rgb="FFFCE4EC"/>
      </patternFill>
    </fill>
    <fill>
      <patternFill patternType="solid">
        <fgColor rgb="FFE1BEE7"/>
        <bgColor rgb="FFE8D5F5"/>
      </patternFill>
    </fill>
    <fill>
      <patternFill patternType="solid">
        <fgColor rgb="FF1F3864"/>
        <bgColor rgb="FF1F4E79"/>
      </patternFill>
    </fill>
    <fill>
      <patternFill patternType="solid">
        <fgColor rgb="FFD6E4F0"/>
        <bgColor rgb="FFDDEEFF"/>
      </patternFill>
    </fill>
    <fill>
      <patternFill patternType="solid">
        <fgColor rgb="FFFFFF00"/>
        <bgColor rgb="FFFFE082"/>
      </patternFill>
    </fill>
    <fill>
      <patternFill patternType="solid">
        <fgColor rgb="FFF2F2F2"/>
        <bgColor rgb="FFE8F5E9"/>
      </patternFill>
    </fill>
    <fill>
      <patternFill patternType="solid">
        <fgColor rgb="FFFFFDE7"/>
        <bgColor rgb="FFFFFFFF"/>
      </patternFill>
    </fill>
    <fill>
      <patternFill patternType="solid">
        <fgColor rgb="FFFCE4EC"/>
        <bgColor rgb="FFF3E5F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31" fillId="0" borderId="0"/>
    <xf numFmtId="0" fontId="1" fillId="0" borderId="0"/>
    <xf numFmtId="166" fontId="2" fillId="0" borderId="0"/>
    <xf numFmtId="0" fontId="31" fillId="0" borderId="0"/>
  </cellStyleXfs>
  <cellXfs count="129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7" fontId="0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7" fontId="4" fillId="3" borderId="1" applyAlignment="1" pivotButton="0" quotePrefix="0" xfId="0">
      <alignment horizontal="center" vertical="center" wrapText="1"/>
    </xf>
    <xf numFmtId="166" fontId="5" fillId="3" borderId="1" applyAlignment="1" pivotButton="0" quotePrefix="0" xfId="0">
      <alignment horizontal="center" vertical="center" wrapText="1"/>
    </xf>
    <xf numFmtId="164" fontId="6" fillId="2" borderId="1" applyAlignment="1" pivotButton="0" quotePrefix="0" xfId="0">
      <alignment horizontal="center" vertical="center" wrapText="1"/>
    </xf>
    <xf numFmtId="165" fontId="3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165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165" fontId="7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166" fontId="2" fillId="5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5" fontId="7" fillId="11" borderId="1" applyAlignment="1" pivotButton="0" quotePrefix="0" xfId="0">
      <alignment horizontal="center" vertical="center"/>
    </xf>
    <xf numFmtId="165" fontId="7" fillId="10" borderId="1" applyAlignment="1" pivotButton="0" quotePrefix="0" xfId="0">
      <alignment horizontal="center" vertical="center"/>
    </xf>
    <xf numFmtId="17" fontId="0" fillId="0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165" fontId="7" fillId="12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165" fontId="7" fillId="13" borderId="1" applyAlignment="1" pivotButton="0" quotePrefix="0" xfId="0">
      <alignment horizontal="center" vertical="center"/>
    </xf>
    <xf numFmtId="165" fontId="7" fillId="9" borderId="1" applyAlignment="1" pivotButton="0" quotePrefix="0" xfId="0">
      <alignment horizontal="center" vertical="center"/>
    </xf>
    <xf numFmtId="165" fontId="7" fillId="14" borderId="1" applyAlignment="1" pivotButton="0" quotePrefix="0" xfId="0">
      <alignment horizontal="center" vertical="center"/>
    </xf>
    <xf numFmtId="0" fontId="9" fillId="15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/>
    </xf>
    <xf numFmtId="164" fontId="11" fillId="0" borderId="1" applyAlignment="1" pivotButton="0" quotePrefix="0" xfId="0">
      <alignment horizontal="right"/>
    </xf>
    <xf numFmtId="0" fontId="12" fillId="16" borderId="1" applyAlignment="1" pivotButton="0" quotePrefix="0" xfId="0">
      <alignment horizontal="center" vertical="center"/>
    </xf>
    <xf numFmtId="165" fontId="13" fillId="1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165" fontId="10" fillId="16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center" vertical="center"/>
    </xf>
    <xf numFmtId="0" fontId="9" fillId="17" borderId="1" applyAlignment="1" pivotButton="0" quotePrefix="0" xfId="0">
      <alignment horizontal="center" vertical="center"/>
    </xf>
    <xf numFmtId="4" fontId="7" fillId="17" borderId="1" applyAlignment="1" pivotButton="0" quotePrefix="0" xfId="0">
      <alignment horizontal="center" vertical="center"/>
    </xf>
    <xf numFmtId="165" fontId="7" fillId="18" borderId="1" applyAlignment="1" pivotButton="0" quotePrefix="0" xfId="0">
      <alignment horizontal="center" vertical="center"/>
    </xf>
    <xf numFmtId="0" fontId="15" fillId="19" borderId="0" pivotButton="0" quotePrefix="0" xfId="0"/>
    <xf numFmtId="0" fontId="16" fillId="20" borderId="0" pivotButton="0" quotePrefix="0" xfId="0"/>
    <xf numFmtId="0" fontId="17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vertical="center"/>
    </xf>
    <xf numFmtId="0" fontId="18" fillId="0" borderId="0" pivotButton="0" quotePrefix="0" xfId="0"/>
    <xf numFmtId="10" fontId="19" fillId="21" borderId="0" pivotButton="0" quotePrefix="0" xfId="0"/>
    <xf numFmtId="0" fontId="20" fillId="0" borderId="0" pivotButton="0" quotePrefix="0" xfId="0"/>
    <xf numFmtId="3" fontId="19" fillId="21" borderId="0" pivotButton="0" quotePrefix="0" xfId="0"/>
    <xf numFmtId="0" fontId="21" fillId="0" borderId="0" pivotButton="0" quotePrefix="0" xfId="0"/>
    <xf numFmtId="165" fontId="0" fillId="0" borderId="0" pivotButton="0" quotePrefix="0" xfId="0"/>
    <xf numFmtId="0" fontId="22" fillId="19" borderId="0" applyAlignment="1" pivotButton="0" quotePrefix="0" xfId="0">
      <alignment horizontal="center" vertical="center" wrapText="1"/>
    </xf>
    <xf numFmtId="3" fontId="23" fillId="22" borderId="0" applyAlignment="1" pivotButton="0" quotePrefix="0" xfId="0">
      <alignment horizontal="center"/>
    </xf>
    <xf numFmtId="165" fontId="23" fillId="22" borderId="0" applyAlignment="1" pivotButton="0" quotePrefix="0" xfId="0">
      <alignment horizontal="center"/>
    </xf>
    <xf numFmtId="165" fontId="24" fillId="22" borderId="0" applyAlignment="1" pivotButton="0" quotePrefix="0" xfId="0">
      <alignment horizontal="center"/>
    </xf>
    <xf numFmtId="165" fontId="24" fillId="23" borderId="0" applyAlignment="1" pivotButton="0" quotePrefix="0" xfId="0">
      <alignment horizontal="center"/>
    </xf>
    <xf numFmtId="168" fontId="23" fillId="22" borderId="0" pivotButton="0" quotePrefix="0" xfId="0"/>
    <xf numFmtId="169" fontId="23" fillId="22" borderId="0" applyAlignment="1" pivotButton="0" quotePrefix="0" xfId="0">
      <alignment horizontal="center"/>
    </xf>
    <xf numFmtId="168" fontId="25" fillId="22" borderId="0" pivotButton="0" quotePrefix="0" xfId="0"/>
    <xf numFmtId="168" fontId="26" fillId="22" borderId="0" pivotButton="0" quotePrefix="0" xfId="0"/>
    <xf numFmtId="3" fontId="23" fillId="5" borderId="0" applyAlignment="1" pivotButton="0" quotePrefix="0" xfId="0">
      <alignment horizontal="center"/>
    </xf>
    <xf numFmtId="165" fontId="23" fillId="5" borderId="0" applyAlignment="1" pivotButton="0" quotePrefix="0" xfId="0">
      <alignment horizontal="center"/>
    </xf>
    <xf numFmtId="165" fontId="24" fillId="5" borderId="0" applyAlignment="1" pivotButton="0" quotePrefix="0" xfId="0">
      <alignment horizontal="center"/>
    </xf>
    <xf numFmtId="168" fontId="23" fillId="5" borderId="0" pivotButton="0" quotePrefix="0" xfId="0"/>
    <xf numFmtId="168" fontId="25" fillId="5" borderId="0" pivotButton="0" quotePrefix="0" xfId="0"/>
    <xf numFmtId="168" fontId="26" fillId="5" borderId="0" pivotButton="0" quotePrefix="0" xfId="0"/>
    <xf numFmtId="169" fontId="23" fillId="5" borderId="0" applyAlignment="1" pivotButton="0" quotePrefix="0" xfId="0">
      <alignment horizontal="center"/>
    </xf>
    <xf numFmtId="0" fontId="27" fillId="19" borderId="0" pivotButton="0" quotePrefix="0" xfId="0"/>
    <xf numFmtId="170" fontId="27" fillId="19" borderId="0" applyAlignment="1" pivotButton="0" quotePrefix="0" xfId="0">
      <alignment horizontal="center"/>
    </xf>
    <xf numFmtId="168" fontId="27" fillId="19" borderId="0" pivotButton="0" quotePrefix="0" xfId="0"/>
    <xf numFmtId="0" fontId="17" fillId="0" borderId="0" pivotButton="0" quotePrefix="0" xfId="0"/>
    <xf numFmtId="168" fontId="28" fillId="0" borderId="0" pivotButton="0" quotePrefix="0" xfId="0"/>
    <xf numFmtId="0" fontId="29" fillId="24" borderId="0" pivotButton="0" quotePrefix="0" xfId="0"/>
    <xf numFmtId="168" fontId="28" fillId="24" borderId="0" pivotButton="0" quotePrefix="0" xfId="0"/>
    <xf numFmtId="3" fontId="0" fillId="5" borderId="0" pivotButton="0" quotePrefix="0" xfId="0"/>
    <xf numFmtId="170" fontId="0" fillId="5" borderId="0" pivotButton="0" quotePrefix="0" xfId="0"/>
    <xf numFmtId="10" fontId="0" fillId="0" borderId="0" pivotButton="0" quotePrefix="0" xfId="0"/>
    <xf numFmtId="0" fontId="5" fillId="3" borderId="1" applyAlignment="1" pivotButton="0" quotePrefix="0" xfId="0">
      <alignment horizontal="center"/>
    </xf>
    <xf numFmtId="166" fontId="5" fillId="3" borderId="1" applyAlignment="1" pivotButton="0" quotePrefix="0" xfId="0">
      <alignment horizontal="center"/>
    </xf>
    <xf numFmtId="10" fontId="5" fillId="3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30" fillId="5" borderId="1" applyAlignment="1" pivotButton="0" quotePrefix="0" xfId="0">
      <alignment horizontal="left"/>
    </xf>
    <xf numFmtId="0" fontId="8" fillId="5" borderId="1" applyAlignment="1" pivotButton="0" quotePrefix="0" xfId="0">
      <alignment horizontal="left"/>
    </xf>
    <xf numFmtId="165" fontId="8" fillId="5" borderId="1" applyAlignment="1" pivotButton="0" quotePrefix="0" xfId="0">
      <alignment horizontal="center"/>
    </xf>
    <xf numFmtId="166" fontId="8" fillId="5" borderId="1" applyAlignment="1" pivotButton="0" quotePrefix="0" xfId="0">
      <alignment horizontal="center"/>
    </xf>
    <xf numFmtId="166" fontId="30" fillId="5" borderId="1" applyAlignment="1" pivotButton="0" quotePrefix="0" xfId="0">
      <alignment horizontal="center"/>
    </xf>
    <xf numFmtId="10" fontId="30" fillId="5" borderId="1" applyAlignment="1" pivotButton="0" quotePrefix="0" xfId="0">
      <alignment horizontal="center"/>
    </xf>
    <xf numFmtId="0" fontId="8" fillId="5" borderId="2" applyAlignment="1" pivotButton="0" quotePrefix="0" xfId="0">
      <alignment horizontal="center"/>
    </xf>
    <xf numFmtId="171" fontId="0" fillId="0" borderId="0" pivotButton="0" quotePrefix="0" xfId="0"/>
    <xf numFmtId="17" fontId="0" fillId="0" borderId="0" pivotButton="0" quotePrefix="0" xfId="0"/>
    <xf numFmtId="164" fontId="2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5" fillId="3" borderId="1" applyAlignment="1" pivotButton="0" quotePrefix="0" xfId="0">
      <alignment horizontal="center" vertical="center" wrapText="1"/>
    </xf>
    <xf numFmtId="164" fontId="6" fillId="2" borderId="1" applyAlignment="1" pivotButton="0" quotePrefix="0" xfId="0">
      <alignment horizontal="center" vertical="center" wrapText="1"/>
    </xf>
    <xf numFmtId="165" fontId="3" fillId="2" borderId="1" applyAlignment="1" pivotButton="0" quotePrefix="0" xfId="0">
      <alignment horizontal="center" vertical="center" wrapText="1"/>
    </xf>
    <xf numFmtId="166" fontId="8" fillId="5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7" fillId="6" borderId="1" applyAlignment="1" pivotButton="0" quotePrefix="0" xfId="0">
      <alignment horizontal="center" vertical="center"/>
    </xf>
    <xf numFmtId="165" fontId="7" fillId="8" borderId="1" applyAlignment="1" pivotButton="0" quotePrefix="0" xfId="0">
      <alignment horizontal="center" vertical="center"/>
    </xf>
    <xf numFmtId="166" fontId="2" fillId="5" borderId="1" applyAlignment="1" pivotButton="0" quotePrefix="0" xfId="0">
      <alignment horizontal="center" vertical="center"/>
    </xf>
    <xf numFmtId="165" fontId="7" fillId="11" borderId="1" applyAlignment="1" pivotButton="0" quotePrefix="0" xfId="0">
      <alignment horizontal="center" vertical="center"/>
    </xf>
    <xf numFmtId="165" fontId="7" fillId="10" borderId="1" applyAlignment="1" pivotButton="0" quotePrefix="0" xfId="0">
      <alignment horizontal="center" vertical="center"/>
    </xf>
    <xf numFmtId="165" fontId="7" fillId="12" borderId="1" applyAlignment="1" pivotButton="0" quotePrefix="0" xfId="0">
      <alignment horizontal="center" vertical="center"/>
    </xf>
    <xf numFmtId="165" fontId="7" fillId="13" borderId="1" applyAlignment="1" pivotButton="0" quotePrefix="0" xfId="0">
      <alignment horizontal="center" vertical="center"/>
    </xf>
    <xf numFmtId="165" fontId="7" fillId="9" borderId="1" applyAlignment="1" pivotButton="0" quotePrefix="0" xfId="0">
      <alignment horizontal="center" vertical="center"/>
    </xf>
    <xf numFmtId="165" fontId="7" fillId="14" borderId="1" applyAlignment="1" pivotButton="0" quotePrefix="0" xfId="0">
      <alignment horizontal="center" vertical="center"/>
    </xf>
    <xf numFmtId="164" fontId="11" fillId="0" borderId="1" applyAlignment="1" pivotButton="0" quotePrefix="0" xfId="0">
      <alignment horizontal="right"/>
    </xf>
    <xf numFmtId="165" fontId="13" fillId="16" borderId="1" applyAlignment="1" pivotButton="0" quotePrefix="0" xfId="0">
      <alignment horizontal="center" vertical="center"/>
    </xf>
    <xf numFmtId="165" fontId="10" fillId="16" borderId="1" applyAlignment="1" pivotButton="0" quotePrefix="0" xfId="0">
      <alignment horizontal="center" vertical="center"/>
    </xf>
    <xf numFmtId="165" fontId="7" fillId="18" borderId="1" applyAlignment="1" pivotButton="0" quotePrefix="0" xfId="0">
      <alignment horizontal="center" vertical="center"/>
    </xf>
    <xf numFmtId="165" fontId="0" fillId="0" borderId="0" pivotButton="0" quotePrefix="0" xfId="0"/>
    <xf numFmtId="165" fontId="23" fillId="22" borderId="0" applyAlignment="1" pivotButton="0" quotePrefix="0" xfId="0">
      <alignment horizontal="center"/>
    </xf>
    <xf numFmtId="165" fontId="24" fillId="22" borderId="0" applyAlignment="1" pivotButton="0" quotePrefix="0" xfId="0">
      <alignment horizontal="center"/>
    </xf>
    <xf numFmtId="165" fontId="24" fillId="23" borderId="0" applyAlignment="1" pivotButton="0" quotePrefix="0" xfId="0">
      <alignment horizontal="center"/>
    </xf>
    <xf numFmtId="165" fontId="23" fillId="5" borderId="0" applyAlignment="1" pivotButton="0" quotePrefix="0" xfId="0">
      <alignment horizontal="center"/>
    </xf>
    <xf numFmtId="165" fontId="24" fillId="5" borderId="0" applyAlignment="1" pivotButton="0" quotePrefix="0" xfId="0">
      <alignment horizontal="center"/>
    </xf>
    <xf numFmtId="166" fontId="5" fillId="3" borderId="1" applyAlignment="1" pivotButton="0" quotePrefix="0" xfId="0">
      <alignment horizontal="center"/>
    </xf>
    <xf numFmtId="165" fontId="8" fillId="5" borderId="1" applyAlignment="1" pivotButton="0" quotePrefix="0" xfId="0">
      <alignment horizontal="center"/>
    </xf>
    <xf numFmtId="166" fontId="8" fillId="5" borderId="1" applyAlignment="1" pivotButton="0" quotePrefix="0" xfId="0">
      <alignment horizontal="center"/>
    </xf>
    <xf numFmtId="166" fontId="30" fillId="5" borderId="1" applyAlignment="1" pivotButton="0" quotePrefix="0" xfId="0">
      <alignment horizontal="center"/>
    </xf>
  </cellXfs>
  <cellStyles count="4">
    <cellStyle name="Normal" xfId="0" builtinId="0"/>
    <cellStyle name="Hipervínculo 2" xfId="1"/>
    <cellStyle name="Moneda 2" xfId="2"/>
    <cellStyle name="Normal 2" xfId="3"/>
  </cellStyles>
  <dxfs count="112">
    <dxf>
      <font>
        <color rgb="FF595959"/>
      </font>
      <fill>
        <patternFill>
          <bgColor rgb="FFF2F2F2"/>
        </patternFill>
      </fill>
    </dxf>
    <dxf>
      <font>
        <color rgb="FF1F4E79"/>
      </font>
      <fill>
        <patternFill>
          <bgColor rgb="FFD6E4F0"/>
        </patternFill>
      </fill>
    </dxf>
    <dxf>
      <font>
        <color rgb="FF9C6500"/>
      </font>
      <fill>
        <patternFill>
          <bgColor rgb="FFFFF2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4A0072"/>
      </font>
      <fill>
        <patternFill>
          <bgColor rgb="FFE8D5F5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595959"/>
      </font>
      <fill>
        <patternFill>
          <bgColor rgb="FFF2F2F2"/>
        </patternFill>
      </fill>
    </dxf>
    <dxf>
      <font>
        <color rgb="FF1F4E79"/>
      </font>
      <fill>
        <patternFill>
          <bgColor rgb="FFD6E4F0"/>
        </patternFill>
      </fill>
    </dxf>
    <dxf>
      <font>
        <color rgb="FF9C6500"/>
      </font>
      <fill>
        <patternFill>
          <bgColor rgb="FFFFF2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4A0072"/>
      </font>
      <fill>
        <patternFill>
          <bgColor rgb="FFE8D5F5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595959"/>
      </font>
      <fill>
        <patternFill>
          <bgColor rgb="FFF2F2F2"/>
        </patternFill>
      </fill>
    </dxf>
    <dxf>
      <font>
        <color rgb="FF1F4E79"/>
      </font>
      <fill>
        <patternFill>
          <bgColor rgb="FFD6E4F0"/>
        </patternFill>
      </fill>
    </dxf>
    <dxf>
      <font>
        <color rgb="FF9C6500"/>
      </font>
      <fill>
        <patternFill>
          <bgColor rgb="FFFFF2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4A0072"/>
      </font>
      <fill>
        <patternFill>
          <bgColor rgb="FFE8D5F5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595959"/>
      </font>
      <fill>
        <patternFill>
          <bgColor rgb="FFF2F2F2"/>
        </patternFill>
      </fill>
    </dxf>
    <dxf>
      <font>
        <color rgb="FF1F4E79"/>
      </font>
      <fill>
        <patternFill>
          <bgColor rgb="FFD6E4F0"/>
        </patternFill>
      </fill>
    </dxf>
    <dxf>
      <font>
        <color rgb="FF9C6500"/>
      </font>
      <fill>
        <patternFill>
          <bgColor rgb="FFFFF2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4A0072"/>
      </font>
      <fill>
        <patternFill>
          <bgColor rgb="FFE8D5F5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595959"/>
      </font>
      <fill>
        <patternFill>
          <bgColor rgb="FFF2F2F2"/>
        </patternFill>
      </fill>
    </dxf>
    <dxf>
      <font>
        <color rgb="FF1F4E79"/>
      </font>
      <fill>
        <patternFill>
          <bgColor rgb="FFD6E4F0"/>
        </patternFill>
      </fill>
    </dxf>
    <dxf>
      <font>
        <color rgb="FF9C6500"/>
      </font>
      <fill>
        <patternFill>
          <bgColor rgb="FFFFF2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4A0072"/>
      </font>
      <fill>
        <patternFill>
          <bgColor rgb="FFE8D5F5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595959"/>
      </font>
      <fill>
        <patternFill>
          <bgColor rgb="FFF2F2F2"/>
        </patternFill>
      </fill>
    </dxf>
    <dxf>
      <font>
        <color rgb="FF1F4E79"/>
      </font>
      <fill>
        <patternFill>
          <bgColor rgb="FFD6E4F0"/>
        </patternFill>
      </fill>
    </dxf>
    <dxf>
      <font>
        <color rgb="FF9C6500"/>
      </font>
      <fill>
        <patternFill>
          <bgColor rgb="FFFFF2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4A0072"/>
      </font>
      <fill>
        <patternFill>
          <bgColor rgb="FFE8D5F5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595959"/>
      </font>
      <fill>
        <patternFill>
          <bgColor rgb="FFF2F2F2"/>
        </patternFill>
      </fill>
    </dxf>
    <dxf>
      <font>
        <color rgb="FF1F4E79"/>
      </font>
      <fill>
        <patternFill>
          <bgColor rgb="FFD6E4F0"/>
        </patternFill>
      </fill>
    </dxf>
    <dxf>
      <font>
        <color rgb="FF9C6500"/>
      </font>
      <fill>
        <patternFill>
          <bgColor rgb="FFFFF2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4A0072"/>
      </font>
      <fill>
        <patternFill>
          <bgColor rgb="FFE8D5F5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595959"/>
      </font>
      <fill>
        <patternFill>
          <bgColor rgb="FFF2F2F2"/>
        </patternFill>
      </fill>
    </dxf>
    <dxf>
      <font>
        <color rgb="FF1F4E79"/>
      </font>
      <fill>
        <patternFill>
          <bgColor rgb="FFD6E4F0"/>
        </patternFill>
      </fill>
    </dxf>
    <dxf>
      <font>
        <color rgb="FF9C6500"/>
      </font>
      <fill>
        <patternFill>
          <bgColor rgb="FFFFF2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4A0072"/>
      </font>
      <fill>
        <patternFill>
          <bgColor rgb="FFE8D5F5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595959"/>
      </font>
      <fill>
        <patternFill>
          <bgColor rgb="FFF2F2F2"/>
        </patternFill>
      </fill>
    </dxf>
    <dxf>
      <font>
        <color rgb="FF1F4E79"/>
      </font>
      <fill>
        <patternFill>
          <bgColor rgb="FFD6E4F0"/>
        </patternFill>
      </fill>
    </dxf>
    <dxf>
      <font>
        <color rgb="FF9C6500"/>
      </font>
      <fill>
        <patternFill>
          <bgColor rgb="FFFFF2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4A0072"/>
      </font>
      <fill>
        <patternFill>
          <bgColor rgb="FFE8D5F5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595959"/>
      </font>
      <fill>
        <patternFill>
          <bgColor rgb="FFF2F2F2"/>
        </patternFill>
      </fill>
    </dxf>
    <dxf>
      <font>
        <color rgb="FF1F4E79"/>
      </font>
      <fill>
        <patternFill>
          <bgColor rgb="FFD6E4F0"/>
        </patternFill>
      </fill>
    </dxf>
    <dxf>
      <font>
        <color rgb="FF9C6500"/>
      </font>
      <fill>
        <patternFill>
          <bgColor rgb="FFFFF2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4A0072"/>
      </font>
      <fill>
        <patternFill>
          <bgColor rgb="FFE8D5F5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595959"/>
      </font>
      <fill>
        <patternFill>
          <bgColor rgb="FFF2F2F2"/>
        </patternFill>
      </fill>
    </dxf>
    <dxf>
      <font>
        <color rgb="FF1F4E79"/>
      </font>
      <fill>
        <patternFill>
          <bgColor rgb="FFD6E4F0"/>
        </patternFill>
      </fill>
    </dxf>
    <dxf>
      <font>
        <color rgb="FF9C6500"/>
      </font>
      <fill>
        <patternFill>
          <bgColor rgb="FFFFF2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4A0072"/>
      </font>
      <fill>
        <patternFill>
          <bgColor rgb="FFE8D5F5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595959"/>
      </font>
      <fill>
        <patternFill>
          <bgColor rgb="FFF2F2F2"/>
        </patternFill>
      </fill>
    </dxf>
    <dxf>
      <font>
        <color rgb="FF1F4E79"/>
      </font>
      <fill>
        <patternFill>
          <bgColor rgb="FFD6E4F0"/>
        </patternFill>
      </fill>
    </dxf>
    <dxf>
      <font>
        <color rgb="FF9C6500"/>
      </font>
      <fill>
        <patternFill>
          <bgColor rgb="FFFFF2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4A0072"/>
      </font>
      <fill>
        <patternFill>
          <bgColor rgb="FFE8D5F5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595959"/>
      </font>
      <fill>
        <patternFill>
          <bgColor rgb="FFF2F2F2"/>
        </patternFill>
      </fill>
    </dxf>
    <dxf>
      <font>
        <color rgb="FF1F4E79"/>
      </font>
      <fill>
        <patternFill>
          <bgColor rgb="FFD6E4F0"/>
        </patternFill>
      </fill>
    </dxf>
    <dxf>
      <font>
        <color rgb="FF9C6500"/>
      </font>
      <fill>
        <patternFill>
          <bgColor rgb="FFFFF2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4A0072"/>
      </font>
      <fill>
        <patternFill>
          <bgColor rgb="FFE8D5F5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595959"/>
      </font>
      <fill>
        <patternFill>
          <bgColor rgb="FFF2F2F2"/>
        </patternFill>
      </fill>
    </dxf>
    <dxf>
      <font>
        <color rgb="FF1F4E79"/>
      </font>
      <fill>
        <patternFill>
          <bgColor rgb="FFD6E4F0"/>
        </patternFill>
      </fill>
    </dxf>
    <dxf>
      <font>
        <color rgb="FF9C6500"/>
      </font>
      <fill>
        <patternFill>
          <bgColor rgb="FFFFF2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4A0072"/>
      </font>
      <fill>
        <patternFill>
          <bgColor rgb="FFE8D5F5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595959"/>
      </font>
      <fill>
        <patternFill>
          <bgColor rgb="FFF2F2F2"/>
        </patternFill>
      </fill>
    </dxf>
    <dxf>
      <font>
        <color rgb="FF1F4E79"/>
      </font>
      <fill>
        <patternFill>
          <bgColor rgb="FFD6E4F0"/>
        </patternFill>
      </fill>
    </dxf>
    <dxf>
      <font>
        <color rgb="FF9C6500"/>
      </font>
      <fill>
        <patternFill>
          <bgColor rgb="FFFFF2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4A0072"/>
      </font>
      <fill>
        <patternFill>
          <bgColor rgb="FFE8D5F5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595959"/>
      </font>
      <fill>
        <patternFill>
          <bgColor rgb="FFF2F2F2"/>
        </patternFill>
      </fill>
    </dxf>
    <dxf>
      <font>
        <color rgb="FF1F4E79"/>
      </font>
      <fill>
        <patternFill>
          <bgColor rgb="FFD6E4F0"/>
        </patternFill>
      </fill>
    </dxf>
    <dxf>
      <font>
        <color rgb="FF9C6500"/>
      </font>
      <fill>
        <patternFill>
          <bgColor rgb="FFFFF2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4A0072"/>
      </font>
      <fill>
        <patternFill>
          <bgColor rgb="FFE8D5F5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F2F2F2"/>
      <rgbColor rgb="FF9C0006"/>
      <rgbColor rgb="FF006100"/>
      <rgbColor rgb="FF000080"/>
      <rgbColor rgb="FF9C6500"/>
      <rgbColor rgb="FF800080"/>
      <rgbColor rgb="FF1F4E79"/>
      <rgbColor rgb="FFE1BEE7"/>
      <rgbColor rgb="FFF3E5F5"/>
      <rgbColor rgb="FFD6E4F0"/>
      <rgbColor rgb="FF993366"/>
      <rgbColor rgb="FFFFFDE7"/>
      <rgbColor rgb="FFE0F7FA"/>
      <rgbColor rgb="FF4A0072"/>
      <rgbColor rgb="FFFFCCCC"/>
      <rgbColor rgb="FF0563C1"/>
      <rgbColor rgb="FFBDD7EE"/>
      <rgbColor rgb="FF000080"/>
      <rgbColor rgb="FFFF00FF"/>
      <rgbColor rgb="FFFCE4D6"/>
      <rgbColor rgb="FF00FFFF"/>
      <rgbColor rgb="FF800080"/>
      <rgbColor rgb="FF800000"/>
      <rgbColor rgb="FF008080"/>
      <rgbColor rgb="FF0000FF"/>
      <rgbColor rgb="FF00CCFF"/>
      <rgbColor rgb="FFDDEEFF"/>
      <rgbColor rgb="FFC6EFCE"/>
      <rgbColor rgb="FFFFF2CC"/>
      <rgbColor rgb="FFB2EBF2"/>
      <rgbColor rgb="FFFFC7CE"/>
      <rgbColor rgb="FFE8D5F5"/>
      <rgbColor rgb="FFF4B8A0"/>
      <rgbColor rgb="FF2F5597"/>
      <rgbColor rgb="FFE8F5E9"/>
      <rgbColor rgb="FFC8E6C9"/>
      <rgbColor rgb="FFFFE082"/>
      <rgbColor rgb="FFFFD7D7"/>
      <rgbColor rgb="FFFCE4EC"/>
      <rgbColor rgb="FF595959"/>
      <rgbColor rgb="FF999999"/>
      <rgbColor rgb="FF1F3864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Matias Perez de la Torre</author>
  </authors>
  <commentList>
    <comment ref="AB75" authorId="0" shapeId="0">
      <text>
        <t>Matias Perez de la Torre:
ODP 0000-00004421 - Transferencia 21/05/2026</t>
      </text>
    </comment>
    <comment ref="AB76" authorId="0" shapeId="0">
      <text>
        <t>Matias Perez de la Torre:
ODP 0000-00004421 - Transferencia 21/05/2026</t>
      </text>
    </comment>
    <comment ref="AB77" authorId="0" shapeId="0">
      <text>
        <t>Matias Perez de la Torre:
ODP 0000-00004421 - Transferencia 21/05/2026</t>
      </text>
    </comment>
    <comment ref="AB141" authorId="0" shapeId="0">
      <text>
        <t>Matias Perez de la Torre:
ODP 0000-00004421 - Transferencia 21/05/2026</t>
      </text>
    </comment>
    <comment ref="AB142" authorId="0" shapeId="0">
      <text>
        <t>Matias Perez de la Torre:
ODP 0000-00004421 - Transferencia 21/05/2026</t>
      </text>
    </comment>
    <comment ref="AB143" authorId="0" shapeId="0">
      <text>
        <t>Matias Perez de la Torre:
ODP 0000-00004421 - Transferencia 21/05/2026</t>
      </text>
    </comment>
    <comment ref="AB144" authorId="0" shapeId="0">
      <text>
        <t>Matias Perez de la Torre:
ODP 0000-00004421 - Transferencia 21/05/2026</t>
      </text>
    </comment>
    <comment ref="AB145" authorId="0" shapeId="0">
      <text>
        <t>Matias Perez de la Torre:
ODP 0000-00004421 - Transferencia 21/05/2026</t>
      </text>
    </comment>
    <comment ref="J188" authorId="0" shapeId="0">
      <text>
        <t>Matias Perez de la Torre:
Acumula lo anterior</t>
      </text>
    </comment>
    <comment ref="I189" authorId="0" shapeId="0">
      <text>
        <t xml:space="preserve">Matias Perez de la Torre:
Acumula todo lo anterior
</t>
      </text>
    </comment>
    <comment ref="J189" authorId="0" shapeId="0">
      <text>
        <t xml:space="preserve">Matias Perez de la Torre:
Acumula lo anterior
</t>
      </text>
    </comment>
    <comment ref="J564" authorId="0" shapeId="0">
      <text>
        <t>Matias Perez de la Torre:
Acumula lo anterior</t>
      </text>
    </comment>
    <comment ref="J565" authorId="0" shapeId="0">
      <text>
        <t xml:space="preserve">Matias Perez de la Torre:
Acumula lo anterior
</t>
      </text>
    </comment>
    <comment ref="J566" authorId="0" shapeId="0">
      <text>
        <t>Matias Perez de la Torre:
Acumula lo anterior</t>
      </text>
    </comment>
    <comment ref="J567" authorId="0" shapeId="0">
      <text>
        <t xml:space="preserve">Matias Perez de la Torre:
Acumula lo anterior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7</col>
      <colOff>1501920</colOff>
      <row>55</row>
      <rowOff>162000</rowOff>
    </from>
    <to>
      <col>11</col>
      <colOff>208800</colOff>
      <row>67</row>
      <rowOff>36720</rowOff>
    </to>
    <pic>
      <nvPicPr>
        <cNvPr id="2" name="Imagen 1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 l="19023"/>
        <a:stretch xmlns:a="http://schemas.openxmlformats.org/drawingml/2006/main">
          <a:fillRect/>
        </a:stretch>
      </blipFill>
      <spPr>
        <a:xfrm xmlns:a="http://schemas.openxmlformats.org/drawingml/2006/main">
          <a:off x="10472040" y="10696680"/>
          <a:ext cx="4844160" cy="20462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</col>
      <colOff>1378080</colOff>
      <row>34</row>
      <rowOff>25560</rowOff>
    </from>
    <to>
      <col>7</col>
      <colOff>1493640</colOff>
      <row>67</row>
      <rowOff>23760</rowOff>
    </to>
    <pic>
      <nvPicPr>
        <cNvPr id="3" name="Imagen 2"/>
        <cNvPicPr/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 b="32475"/>
        <a:stretch xmlns:a="http://schemas.openxmlformats.org/drawingml/2006/main">
          <a:fillRect/>
        </a:stretch>
      </blipFill>
      <spPr>
        <a:xfrm xmlns:a="http://schemas.openxmlformats.org/drawingml/2006/main">
          <a:off x="4453560" y="6731280"/>
          <a:ext cx="6010200" cy="59986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la1" displayName="Tabla1" ref="A2:D9" headerRowCount="1" totalsRowShown="0">
  <autoFilter ref="A2:D9"/>
  <tableColumns count="4">
    <tableColumn id="1" name="UOP"/>
    <tableColumn id="2" name="Concepto"/>
    <tableColumn id="3" name="Monto"/>
    <tableColumn id="4" name="Fech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s://www.bna.com.ar/home/informacionalusuariofinanciero" TargetMode="External" Id="rId1"/><Relationship Type="http://schemas.openxmlformats.org/officeDocument/2006/relationships/drawing" Target="/xl/drawings/drawing1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1">
    <outlinePr summaryBelow="1" summaryRight="1"/>
    <pageSetUpPr fitToPage="1"/>
  </sheetPr>
  <dimension ref="A1:AK567"/>
  <sheetViews>
    <sheetView tabSelected="1" topLeftCell="G1" zoomScale="70" zoomScaleNormal="70" workbookViewId="0">
      <pane ySplit="1" topLeftCell="A156" activePane="bottomLeft" state="frozen"/>
      <selection pane="bottomLeft" activeCell="O1" sqref="O1"/>
      <selection activeCell="G1" sqref="G1"/>
    </sheetView>
  </sheetViews>
  <sheetFormatPr baseColWidth="8" defaultColWidth="8.5703125" defaultRowHeight="14.25"/>
  <cols>
    <col width="10" customWidth="1" style="1" min="1" max="1"/>
    <col width="54.85546875" customWidth="1" style="1" min="2" max="2"/>
    <col width="60.85546875" customWidth="1" style="1" min="3" max="3"/>
    <col width="28.28515625" customWidth="1" style="1" min="4" max="4"/>
    <col width="8.140625" customWidth="1" style="1" min="5" max="5"/>
    <col width="45" customWidth="1" style="1" min="6" max="6"/>
    <col width="17.7109375" customWidth="1" style="1" min="7" max="7"/>
    <col width="14.42578125" customWidth="1" style="2" min="8" max="8"/>
    <col width="24.5703125" customWidth="1" style="1" min="9" max="9"/>
    <col width="28" customWidth="1" style="99" min="10" max="11"/>
    <col width="15.85546875" customWidth="1" style="1" min="12" max="12"/>
    <col width="7" customWidth="1" style="1" min="13" max="13"/>
    <col width="17.28515625" customWidth="1" style="1" min="14" max="14"/>
    <col width="13" customWidth="1" style="100" min="15" max="15"/>
    <col width="109.42578125" customWidth="1" style="1" min="16" max="16"/>
    <col width="12.5703125" customWidth="1" style="1" min="17" max="17"/>
    <col width="14.7109375" customWidth="1" style="1" min="18" max="18"/>
    <col width="26.7109375" customWidth="1" style="99" min="19" max="19"/>
    <col width="17" customWidth="1" style="99" min="20" max="20"/>
    <col width="20" customWidth="1" style="99" min="21" max="26"/>
    <col width="21.85546875" customWidth="1" style="99" min="27" max="27"/>
    <col width="13" customWidth="1" style="1" min="28" max="28"/>
    <col width="23.42578125" customWidth="1" style="99" min="29" max="29"/>
    <col width="13" customWidth="1" style="1" min="30" max="30"/>
    <col width="20.28515625" customWidth="1" style="99" min="31" max="31"/>
    <col width="14.140625" customWidth="1" style="1" min="32" max="32"/>
    <col width="17.5703125" customWidth="1" style="99" min="33" max="34"/>
    <col width="21.5703125" customWidth="1" style="99" min="35" max="35"/>
    <col width="21.42578125" customWidth="1" style="99" min="36" max="36"/>
    <col width="18.85546875" customWidth="1" style="99" min="37" max="37"/>
    <col width="8.5703125" customWidth="1" style="1" min="38" max="16384"/>
  </cols>
  <sheetData>
    <row r="1" ht="31.5" customFormat="1" customHeight="1" s="11">
      <c r="A1" s="5" t="inlineStr">
        <is>
          <t>UOP</t>
        </is>
      </c>
      <c r="B1" s="5" t="inlineStr">
        <is>
          <t>Comitente</t>
        </is>
      </c>
      <c r="C1" s="5" t="inlineStr">
        <is>
          <t>Descripción UOP</t>
        </is>
      </c>
      <c r="D1" s="5" t="inlineStr">
        <is>
          <t>Sub Rubro</t>
        </is>
      </c>
      <c r="E1" s="6" t="inlineStr">
        <is>
          <t>Cert Nro</t>
        </is>
      </c>
      <c r="F1" s="6" t="inlineStr">
        <is>
          <t>Concepto</t>
        </is>
      </c>
      <c r="G1" s="6" t="inlineStr">
        <is>
          <t>Concepto Agrupado</t>
        </is>
      </c>
      <c r="H1" s="7" t="inlineStr">
        <is>
          <t>Período</t>
        </is>
      </c>
      <c r="I1" s="101" t="inlineStr">
        <is>
          <t>Anticipo Desacopiado ($)</t>
        </is>
      </c>
      <c r="J1" s="102" t="inlineStr">
        <is>
          <t>Importe Certificado</t>
        </is>
      </c>
      <c r="K1" s="102" t="inlineStr">
        <is>
          <t>Importe a facturar</t>
        </is>
      </c>
      <c r="L1" s="6" t="inlineStr">
        <is>
          <t>Estado Validación por insp.</t>
        </is>
      </c>
      <c r="M1" s="5" t="inlineStr">
        <is>
          <t>Tipo</t>
        </is>
      </c>
      <c r="N1" s="5" t="inlineStr">
        <is>
          <t>N° Comprobante</t>
        </is>
      </c>
      <c r="O1" s="103" t="inlineStr">
        <is>
          <t>Fecha Factura</t>
        </is>
      </c>
      <c r="P1" s="5" t="inlineStr">
        <is>
          <t>Concepto / Descripción</t>
        </is>
      </c>
      <c r="Q1" s="5" t="inlineStr">
        <is>
          <t>Anulada</t>
        </is>
      </c>
      <c r="R1" s="5" t="inlineStr">
        <is>
          <t>NC</t>
        </is>
      </c>
      <c r="S1" s="102" t="inlineStr">
        <is>
          <t>Importe Neto Factura</t>
        </is>
      </c>
      <c r="T1" s="102" t="inlineStr">
        <is>
          <t>IVA 10,05</t>
        </is>
      </c>
      <c r="U1" s="102" t="inlineStr">
        <is>
          <t>IVA 21%</t>
        </is>
      </c>
      <c r="V1" s="102" t="inlineStr">
        <is>
          <t>Perp IVA</t>
        </is>
      </c>
      <c r="W1" s="102" t="inlineStr">
        <is>
          <t>IIBB Bs As ($)</t>
        </is>
      </c>
      <c r="X1" s="102" t="inlineStr">
        <is>
          <t>IIBB CABA ($)</t>
        </is>
      </c>
      <c r="Y1" s="102" t="inlineStr">
        <is>
          <t>IIBB Tucuman($)</t>
        </is>
      </c>
      <c r="Z1" s="102" t="inlineStr">
        <is>
          <t>IIBB Sta Fe ($)</t>
        </is>
      </c>
      <c r="AA1" s="102" t="inlineStr">
        <is>
          <t>Importe de factura ($)</t>
        </is>
      </c>
      <c r="AB1" s="5" t="inlineStr">
        <is>
          <t>Fecha Pago 1</t>
        </is>
      </c>
      <c r="AC1" s="102" t="inlineStr">
        <is>
          <t>Monto Pago 1 ($)</t>
        </is>
      </c>
      <c r="AD1" s="5" t="inlineStr">
        <is>
          <t>Fecha Pago 2</t>
        </is>
      </c>
      <c r="AE1" s="102" t="inlineStr">
        <is>
          <t>Monto Pago 2 ($)</t>
        </is>
      </c>
      <c r="AF1" s="5" t="inlineStr">
        <is>
          <t>Fecha Pago 3+</t>
        </is>
      </c>
      <c r="AG1" s="102" t="inlineStr">
        <is>
          <t>Monto Pago 3+ ($)</t>
        </is>
      </c>
      <c r="AH1" s="102" t="inlineStr">
        <is>
          <t>Ret ganancias</t>
        </is>
      </c>
      <c r="AI1" s="102" t="inlineStr">
        <is>
          <t>Total Cobrado ($)</t>
        </is>
      </c>
      <c r="AJ1" s="102" t="inlineStr">
        <is>
          <t>Saldo ($)</t>
        </is>
      </c>
      <c r="AK1" s="102" t="inlineStr">
        <is>
          <t>Demora Pago (días)</t>
        </is>
      </c>
    </row>
    <row r="2" hidden="1" ht="15" customHeight="1">
      <c r="A2" s="12" t="inlineStr">
        <is>
          <t>00-121</t>
        </is>
      </c>
      <c r="B2" s="12" t="inlineStr">
        <is>
          <t>DEPOSITO SAN PEDRO Y TALLER CENTRAL</t>
        </is>
      </c>
      <c r="C2" s="12" t="inlineStr">
        <is>
          <t>DEPOSITO SAN PEDRO Y TALLER CENTRAL</t>
        </is>
      </c>
      <c r="D2" s="12" t="inlineStr">
        <is>
          <t>DEPOSITO SAN PEDRO Y TALLER CENTRAL</t>
        </is>
      </c>
      <c r="E2" s="13" t="inlineStr">
        <is>
          <t>NA</t>
        </is>
      </c>
      <c r="F2" s="13" t="inlineStr">
        <is>
          <t>NA</t>
        </is>
      </c>
      <c r="G2" s="13" t="inlineStr">
        <is>
          <t>NA</t>
        </is>
      </c>
      <c r="H2" s="13" t="inlineStr">
        <is>
          <t>NA</t>
        </is>
      </c>
      <c r="I2" s="104" t="n"/>
      <c r="J2" s="105" t="n">
        <v>4365000</v>
      </c>
      <c r="K2" s="105" t="n">
        <v>4365000</v>
      </c>
      <c r="L2" s="13" t="inlineStr">
        <is>
          <t>Validado</t>
        </is>
      </c>
      <c r="M2" s="12" t="inlineStr">
        <is>
          <t>FC A</t>
        </is>
      </c>
      <c r="N2" s="16" t="n">
        <v>2566</v>
      </c>
      <c r="O2" s="106" t="n">
        <v>46038</v>
      </c>
      <c r="P2" s="12" t="inlineStr">
        <is>
          <t>Por el alquiler de 5 (cinco) días de excavadora con operador (Corresponde a U$S 3.000,00.- al tipo de cambio vendedor BN</t>
        </is>
      </c>
      <c r="Q2" s="18" t="inlineStr">
        <is>
          <t>NO</t>
        </is>
      </c>
      <c r="R2" s="18" t="inlineStr">
        <is>
          <t>N/A</t>
        </is>
      </c>
      <c r="S2" s="105">
        <f>+J2</f>
        <v/>
      </c>
      <c r="T2" s="105" t="n"/>
      <c r="U2" s="105">
        <f>+S2*21%</f>
        <v/>
      </c>
      <c r="V2" s="105">
        <f>+S2*3%</f>
        <v/>
      </c>
      <c r="W2" s="105">
        <f>+S2*1.5%</f>
        <v/>
      </c>
      <c r="X2" s="105">
        <f>IF(A2="00-175",S2*0.06,0)</f>
        <v/>
      </c>
      <c r="Y2" s="105" t="n"/>
      <c r="Z2" s="105" t="n"/>
      <c r="AA2" s="105">
        <f>+S2+T2+U2+W2+X2+V2+Y2</f>
        <v/>
      </c>
      <c r="AB2" s="107" t="n">
        <v>46045</v>
      </c>
      <c r="AC2" s="105" t="n">
        <v>5216847</v>
      </c>
      <c r="AD2" s="20" t="n"/>
      <c r="AE2" s="105" t="n"/>
      <c r="AF2" s="12" t="n"/>
      <c r="AG2" s="105" t="n"/>
      <c r="AH2" s="105" t="n">
        <v>261228</v>
      </c>
      <c r="AI2" s="105">
        <f>+AC2+AE2+AG2+AH2</f>
        <v/>
      </c>
      <c r="AJ2" s="105">
        <f>+AA2-AI2</f>
        <v/>
      </c>
      <c r="AK2" s="21">
        <f>IF(Q2="ANULADA","N/A",IF(ABS(AJ2)&gt;10,"Pendiente",IF(MAX(AB2,AD2,AF2)=0,"Pendiente",MAX(0,MAX(AB2,AD2,AF2)-O2))))</f>
        <v/>
      </c>
    </row>
    <row r="3" hidden="1" ht="15" customHeight="1">
      <c r="A3" s="22" t="inlineStr">
        <is>
          <t>00-172</t>
        </is>
      </c>
      <c r="B3" s="18" t="inlineStr">
        <is>
          <t>NUEVA MARINAS DE HUDSON INVERSORA SA</t>
        </is>
      </c>
      <c r="C3" s="22" t="inlineStr">
        <is>
          <t>Rotondas PN</t>
        </is>
      </c>
      <c r="D3" s="22" t="inlineStr">
        <is>
          <t>Rotondas PN</t>
        </is>
      </c>
      <c r="E3" s="13" t="n">
        <v>4</v>
      </c>
      <c r="F3" s="22" t="inlineStr">
        <is>
          <t>Cartificado Coste y Costas N4</t>
        </is>
      </c>
      <c r="G3" s="22" t="inlineStr">
        <is>
          <t>Rotondas PN</t>
        </is>
      </c>
      <c r="H3" s="23" t="n">
        <v>45778</v>
      </c>
      <c r="I3" s="104" t="n"/>
      <c r="J3" s="105" t="n">
        <v>23513373.66</v>
      </c>
      <c r="K3" s="105" t="n">
        <v>23513373.66</v>
      </c>
      <c r="L3" s="13" t="inlineStr">
        <is>
          <t>Validado</t>
        </is>
      </c>
      <c r="M3" s="22" t="inlineStr">
        <is>
          <t>FC A</t>
        </is>
      </c>
      <c r="N3" s="24" t="n">
        <v>2485</v>
      </c>
      <c r="O3" s="106" t="n">
        <v>45848</v>
      </c>
      <c r="P3" s="22" t="inlineStr">
        <is>
          <t>Cartificado Coste y Costas N4</t>
        </is>
      </c>
      <c r="Q3" s="22" t="inlineStr">
        <is>
          <t>NO</t>
        </is>
      </c>
      <c r="R3" s="22" t="inlineStr">
        <is>
          <t>N/A</t>
        </is>
      </c>
      <c r="S3" s="105">
        <f>+J3</f>
        <v/>
      </c>
      <c r="T3" s="105" t="n"/>
      <c r="U3" s="105">
        <f>+S3*21%</f>
        <v/>
      </c>
      <c r="V3" s="105">
        <f>+S3*3%</f>
        <v/>
      </c>
      <c r="W3" s="105">
        <f>+S3*2.5%</f>
        <v/>
      </c>
      <c r="X3" s="105">
        <f>IF(A3="00-175",S3*0.06,0)</f>
        <v/>
      </c>
      <c r="Y3" s="105" t="n"/>
      <c r="Z3" s="105" t="n"/>
      <c r="AA3" s="105">
        <f>+S3+T3+U3+W3+X3+V3+Y3</f>
        <v/>
      </c>
      <c r="AB3" s="106" t="n">
        <v>46219</v>
      </c>
      <c r="AC3" s="105" t="n">
        <v>29744417.6799</v>
      </c>
      <c r="AD3" s="22" t="n"/>
      <c r="AE3" s="105" t="n"/>
      <c r="AF3" s="22" t="n"/>
      <c r="AG3" s="105" t="n"/>
      <c r="AH3" s="105" t="n"/>
      <c r="AI3" s="105">
        <f>+AC3+AE3+AG3+AH3</f>
        <v/>
      </c>
      <c r="AJ3" s="105">
        <f>+AA3-AI3</f>
        <v/>
      </c>
      <c r="AK3" s="21">
        <f>IF(Q3="ANULADA","N/A",IF(ABS(AJ3)&gt;10,"Pendiente",IF(MAX(AB3,AD3,AF3)=0,"Pendiente",MAX(0,MAX(AB3,AD3,AF3)-O3))))</f>
        <v/>
      </c>
    </row>
    <row r="4" hidden="1" ht="15" customHeight="1">
      <c r="A4" s="22" t="inlineStr">
        <is>
          <t>00-172</t>
        </is>
      </c>
      <c r="B4" s="18" t="inlineStr">
        <is>
          <t>NUEVA MARINAS DE HUDSON INVERSORA SA</t>
        </is>
      </c>
      <c r="C4" s="22" t="inlineStr">
        <is>
          <t>Rotondas PN</t>
        </is>
      </c>
      <c r="D4" s="22" t="inlineStr">
        <is>
          <t>Rotondas PN</t>
        </is>
      </c>
      <c r="E4" s="13" t="n">
        <v>1</v>
      </c>
      <c r="F4" s="22" t="inlineStr">
        <is>
          <t>Certificado Nº 1 - May'25..</t>
        </is>
      </c>
      <c r="G4" s="22" t="inlineStr">
        <is>
          <t>Rotondas PN</t>
        </is>
      </c>
      <c r="H4" s="23" t="n">
        <v>45778</v>
      </c>
      <c r="I4" s="104" t="n"/>
      <c r="J4" s="105" t="n">
        <v>30876813.12</v>
      </c>
      <c r="K4" s="105" t="n">
        <v>30876813.12</v>
      </c>
      <c r="L4" s="13" t="inlineStr">
        <is>
          <t>Validado</t>
        </is>
      </c>
      <c r="M4" s="18" t="inlineStr">
        <is>
          <t>FC A</t>
        </is>
      </c>
      <c r="N4" s="24" t="n">
        <v>2486</v>
      </c>
      <c r="O4" s="106" t="n">
        <v>45848</v>
      </c>
      <c r="P4" s="22" t="inlineStr">
        <is>
          <t>Certificado Nº 1 - May'25..</t>
        </is>
      </c>
      <c r="Q4" s="18" t="inlineStr">
        <is>
          <t>NO</t>
        </is>
      </c>
      <c r="R4" s="18" t="inlineStr">
        <is>
          <t>N/A</t>
        </is>
      </c>
      <c r="S4" s="105">
        <f>+J4</f>
        <v/>
      </c>
      <c r="T4" s="105" t="n"/>
      <c r="U4" s="105">
        <f>+S4*21%</f>
        <v/>
      </c>
      <c r="V4" s="105">
        <f>+S4*3%</f>
        <v/>
      </c>
      <c r="W4" s="105">
        <f>+S4*2.5%</f>
        <v/>
      </c>
      <c r="X4" s="105">
        <f>IF(A4="00-175",S4*0.06,0)</f>
        <v/>
      </c>
      <c r="Y4" s="105" t="n"/>
      <c r="Z4" s="105" t="n"/>
      <c r="AA4" s="105">
        <f>+S4+T4+U4+W4+X4+V4+Y4</f>
        <v/>
      </c>
      <c r="AB4" s="106" t="n">
        <v>46219</v>
      </c>
      <c r="AC4" s="105" t="n">
        <v>39059168.5968</v>
      </c>
      <c r="AD4" s="22" t="n"/>
      <c r="AE4" s="105" t="n"/>
      <c r="AF4" s="22" t="n"/>
      <c r="AG4" s="105" t="n"/>
      <c r="AH4" s="105" t="n"/>
      <c r="AI4" s="105">
        <f>+AC4+AE4+AG4+AH4</f>
        <v/>
      </c>
      <c r="AJ4" s="105">
        <f>+AA4-AI4</f>
        <v/>
      </c>
      <c r="AK4" s="21">
        <f>IF(Q4="ANULADA","N/A",IF(ABS(AJ4)&gt;10,"Pendiente",IF(MAX(AB4,AD4,AF4)=0,"Pendiente",MAX(0,MAX(AB4,AD4,AF4)-O4))))</f>
        <v/>
      </c>
    </row>
    <row r="5" hidden="1" ht="15" customHeight="1">
      <c r="A5" s="25" t="inlineStr">
        <is>
          <t>00-173</t>
        </is>
      </c>
      <c r="B5" s="25" t="inlineStr">
        <is>
          <t>FIDEICOMISO MARINAS DEL PLATA</t>
        </is>
      </c>
      <c r="C5" s="25" t="inlineStr">
        <is>
          <t>EDIFICIOS MD 2 y 3 (Pto. NIZUC)</t>
        </is>
      </c>
      <c r="D5" s="13" t="inlineStr">
        <is>
          <t>Agua Tratada YPF</t>
        </is>
      </c>
      <c r="E5" s="13" t="n"/>
      <c r="F5" s="13" t="inlineStr">
        <is>
          <t>Agua Tratada YPF</t>
        </is>
      </c>
      <c r="G5" s="13" t="inlineStr">
        <is>
          <t>Agua Tratada YPF</t>
        </is>
      </c>
      <c r="H5" s="13" t="inlineStr">
        <is>
          <t>NA</t>
        </is>
      </c>
      <c r="I5" s="104" t="n"/>
      <c r="J5" s="108" t="n">
        <v>76100793.86</v>
      </c>
      <c r="K5" s="108" t="n">
        <v>76100793.86</v>
      </c>
      <c r="L5" s="13" t="inlineStr">
        <is>
          <t>Validado</t>
        </is>
      </c>
      <c r="M5" s="25" t="inlineStr">
        <is>
          <t>FC A</t>
        </is>
      </c>
      <c r="N5" s="27" t="n">
        <v>2483</v>
      </c>
      <c r="O5" s="106" t="n">
        <v>45833</v>
      </c>
      <c r="P5" s="25" t="inlineStr">
        <is>
          <t>Trabajos de Agua Tratada Planta YPF a Canal Exterior Puerto Nizuc. - EDIFICIOS MD 2 y 3 (Pto. NIZUC) (00173)</t>
        </is>
      </c>
      <c r="Q5" s="25" t="inlineStr">
        <is>
          <t>NO</t>
        </is>
      </c>
      <c r="R5" s="25" t="inlineStr">
        <is>
          <t>N/A</t>
        </is>
      </c>
      <c r="S5" s="105">
        <f>+J5</f>
        <v/>
      </c>
      <c r="T5" s="108" t="n"/>
      <c r="U5" s="108">
        <f>+S5*21%</f>
        <v/>
      </c>
      <c r="V5" s="108">
        <f>+S5*3%</f>
        <v/>
      </c>
      <c r="W5" s="108">
        <f>+S5*2.5%</f>
        <v/>
      </c>
      <c r="X5" s="108">
        <f>IF(A5="00-175",S5*0.06,0)</f>
        <v/>
      </c>
      <c r="Y5" s="108" t="n"/>
      <c r="Z5" s="108" t="n"/>
      <c r="AA5" s="108">
        <f>+S5+T5+U5+W5+X5+V5+Y5</f>
        <v/>
      </c>
      <c r="AB5" s="109" t="n">
        <v>45839</v>
      </c>
      <c r="AC5" s="108">
        <f>AA5-AH5</f>
        <v/>
      </c>
      <c r="AD5" s="25" t="n"/>
      <c r="AE5" s="108" t="n"/>
      <c r="AF5" s="25" t="n"/>
      <c r="AG5" s="108" t="n"/>
      <c r="AH5" s="108" t="n">
        <v>2357473.63</v>
      </c>
      <c r="AI5" s="108">
        <f>+AC5+AE5+AG5+AH5</f>
        <v/>
      </c>
      <c r="AJ5" s="108">
        <f>+AA5-AI5</f>
        <v/>
      </c>
      <c r="AK5" s="21">
        <f>IF(Q5="ANULADA","N/A",IF(ABS(AJ5)&gt;10,"Pendiente",IF(MAX(AB5,AD5,AF5)=0,"Pendiente",MAX(0,MAX(AB5,AD5,AF5)-O5))))</f>
        <v/>
      </c>
    </row>
    <row r="6" hidden="1" ht="15" customHeight="1">
      <c r="A6" s="25" t="inlineStr">
        <is>
          <t>00-173</t>
        </is>
      </c>
      <c r="B6" s="25" t="inlineStr">
        <is>
          <t>FIDEICOMISO MARINAS DEL PLATA</t>
        </is>
      </c>
      <c r="C6" s="25" t="inlineStr">
        <is>
          <t>EDIFICIOS MD 2 y 3 (Pto. NIZUC)</t>
        </is>
      </c>
      <c r="D6" s="13" t="n"/>
      <c r="E6" s="13" t="n"/>
      <c r="F6" s="13" t="n"/>
      <c r="G6" s="13" t="inlineStr">
        <is>
          <t>Básico</t>
        </is>
      </c>
      <c r="H6" s="23" t="n">
        <v>45717</v>
      </c>
      <c r="I6" s="104" t="n"/>
      <c r="J6" s="108" t="n">
        <v>154020882.324111</v>
      </c>
      <c r="K6" s="108" t="n">
        <v>154020882.324111</v>
      </c>
      <c r="L6" s="13" t="n"/>
      <c r="M6" s="25" t="inlineStr">
        <is>
          <t>FC A</t>
        </is>
      </c>
      <c r="N6" s="27" t="n">
        <v>2517</v>
      </c>
      <c r="O6" s="106" t="n">
        <v>45946</v>
      </c>
      <c r="P6" s="25" t="inlineStr">
        <is>
          <t>Certificado Básico Nº 1 - Mar'25.. - EDIFICIOS MD 2 y 3 (Pto. NIZUC) (00173)</t>
        </is>
      </c>
      <c r="Q6" s="25" t="inlineStr">
        <is>
          <t>ANULADA</t>
        </is>
      </c>
      <c r="R6" s="25" t="n">
        <v>344</v>
      </c>
      <c r="S6" s="105">
        <f>+J6</f>
        <v/>
      </c>
      <c r="T6" s="108" t="n"/>
      <c r="U6" s="108">
        <f>+S6*21%</f>
        <v/>
      </c>
      <c r="V6" s="108">
        <f>+S6*3%</f>
        <v/>
      </c>
      <c r="W6" s="108">
        <f>+S6*2.5%</f>
        <v/>
      </c>
      <c r="X6" s="108">
        <f>IF(A6="00-175",S6*0.06,0)</f>
        <v/>
      </c>
      <c r="Y6" s="108" t="n"/>
      <c r="Z6" s="108" t="n"/>
      <c r="AA6" s="108">
        <f>+S6+T6+U6+W6+X6+V6+Y6</f>
        <v/>
      </c>
      <c r="AB6" s="110" t="n"/>
      <c r="AC6" s="108" t="n"/>
      <c r="AD6" s="25" t="n"/>
      <c r="AE6" s="108" t="n"/>
      <c r="AF6" s="25" t="n"/>
      <c r="AG6" s="108" t="n"/>
      <c r="AH6" s="108" t="n"/>
      <c r="AI6" s="105">
        <f>+AC6+AE6+AG6+AH6</f>
        <v/>
      </c>
      <c r="AJ6" s="105">
        <f>+AA6-AI6</f>
        <v/>
      </c>
      <c r="AK6" s="21">
        <f>IF(Q6="ANULADA","N/A",IF(ABS(AJ6)&gt;10,"Pendiente",IF(MAX(AB6,AD6,AF6)=0,"Pendiente",MAX(0,MAX(AB6,AD6,AF6)-O6))))</f>
        <v/>
      </c>
    </row>
    <row r="7" hidden="1" ht="15" customHeight="1">
      <c r="A7" s="25" t="inlineStr">
        <is>
          <t>00-173</t>
        </is>
      </c>
      <c r="B7" s="25" t="inlineStr">
        <is>
          <t>FIDEICOMISO MARINAS DEL PLATA</t>
        </is>
      </c>
      <c r="C7" s="25" t="inlineStr">
        <is>
          <t>EDIFICIOS MD 2 y 3 (Pto. NIZUC)</t>
        </is>
      </c>
      <c r="D7" s="13" t="n"/>
      <c r="E7" s="13" t="n"/>
      <c r="F7" s="13" t="n"/>
      <c r="G7" s="13" t="inlineStr">
        <is>
          <t>Básico</t>
        </is>
      </c>
      <c r="H7" s="23" t="n">
        <v>45748</v>
      </c>
      <c r="I7" s="104" t="n"/>
      <c r="J7" s="108" t="n">
        <v>87443207.6758893</v>
      </c>
      <c r="K7" s="108" t="n">
        <v>87443207.6758893</v>
      </c>
      <c r="L7" s="13" t="n"/>
      <c r="M7" s="25" t="inlineStr">
        <is>
          <t>FC A</t>
        </is>
      </c>
      <c r="N7" s="27" t="n">
        <v>2518</v>
      </c>
      <c r="O7" s="106" t="n">
        <v>45946</v>
      </c>
      <c r="P7" s="25" t="inlineStr">
        <is>
          <t>Certificado Básico Nº 2 - Abr'25. - EDIFICIOS MD 2 y 3 (Pto. NIZUC) (00173)</t>
        </is>
      </c>
      <c r="Q7" s="25" t="inlineStr">
        <is>
          <t>ANULADA</t>
        </is>
      </c>
      <c r="R7" s="25" t="n">
        <v>345</v>
      </c>
      <c r="S7" s="105">
        <f>+J7</f>
        <v/>
      </c>
      <c r="T7" s="108" t="n"/>
      <c r="U7" s="108">
        <f>+S7*21%</f>
        <v/>
      </c>
      <c r="V7" s="108">
        <f>+S7*3%</f>
        <v/>
      </c>
      <c r="W7" s="108">
        <f>+S7*2.5%</f>
        <v/>
      </c>
      <c r="X7" s="108">
        <f>IF(A7="00-175",S7*0.06,0)</f>
        <v/>
      </c>
      <c r="Y7" s="108" t="n"/>
      <c r="Z7" s="108" t="n"/>
      <c r="AA7" s="108">
        <f>+S7+T7+U7+W7+X7+V7+Y7</f>
        <v/>
      </c>
      <c r="AB7" s="110" t="n"/>
      <c r="AC7" s="108" t="n"/>
      <c r="AD7" s="25" t="n"/>
      <c r="AE7" s="108" t="n"/>
      <c r="AF7" s="25" t="n"/>
      <c r="AG7" s="108" t="n"/>
      <c r="AH7" s="108" t="n"/>
      <c r="AI7" s="105">
        <f>+AC7+AE7+AG7+AH7</f>
        <v/>
      </c>
      <c r="AJ7" s="105">
        <f>+AA7-AI7</f>
        <v/>
      </c>
      <c r="AK7" s="21">
        <f>IF(Q7="ANULADA","N/A",IF(ABS(AJ7)&gt;10,"Pendiente",IF(MAX(AB7,AD7,AF7)=0,"Pendiente",MAX(0,MAX(AB7,AD7,AF7)-O7))))</f>
        <v/>
      </c>
    </row>
    <row r="8" hidden="1" ht="15" customHeight="1">
      <c r="A8" s="25" t="inlineStr">
        <is>
          <t>00-173</t>
        </is>
      </c>
      <c r="B8" s="25" t="inlineStr">
        <is>
          <t>FIDEICOMISO MARINAS DEL PLATA</t>
        </is>
      </c>
      <c r="C8" s="25" t="inlineStr">
        <is>
          <t>EDIFICIOS MD 2 y 3 (Pto. NIZUC)</t>
        </is>
      </c>
      <c r="D8" s="13" t="n"/>
      <c r="E8" s="13" t="n"/>
      <c r="F8" s="13" t="n"/>
      <c r="G8" s="13" t="inlineStr">
        <is>
          <t>Básico</t>
        </is>
      </c>
      <c r="H8" s="23" t="n">
        <v>45778</v>
      </c>
      <c r="I8" s="104" t="n"/>
      <c r="J8" s="108" t="n">
        <v>105161504.252964</v>
      </c>
      <c r="K8" s="108" t="n">
        <v>105161504.252964</v>
      </c>
      <c r="L8" s="13" t="n"/>
      <c r="M8" s="25" t="inlineStr">
        <is>
          <t>FC A</t>
        </is>
      </c>
      <c r="N8" s="27" t="n">
        <v>2519</v>
      </c>
      <c r="O8" s="106" t="n">
        <v>45946</v>
      </c>
      <c r="P8" s="25" t="inlineStr">
        <is>
          <t>Certificado Básico Nº 3 - May'25.. - EDIFICIOS MD 2 y 3 (Pto. NIZUC) (00173)</t>
        </is>
      </c>
      <c r="Q8" s="25" t="inlineStr">
        <is>
          <t>ANULADA</t>
        </is>
      </c>
      <c r="R8" s="25" t="n">
        <v>346</v>
      </c>
      <c r="S8" s="105">
        <f>+J8</f>
        <v/>
      </c>
      <c r="T8" s="108" t="n"/>
      <c r="U8" s="108">
        <f>+S8*21%</f>
        <v/>
      </c>
      <c r="V8" s="108">
        <f>+S8*3%</f>
        <v/>
      </c>
      <c r="W8" s="108">
        <f>+S8*2.5%</f>
        <v/>
      </c>
      <c r="X8" s="108">
        <f>IF(A8="00-175",S8*0.06,0)</f>
        <v/>
      </c>
      <c r="Y8" s="108" t="n"/>
      <c r="Z8" s="108" t="n"/>
      <c r="AA8" s="108">
        <f>+S8+T8+U8+W8+X8+V8+Y8</f>
        <v/>
      </c>
      <c r="AB8" s="110" t="n"/>
      <c r="AC8" s="108" t="n"/>
      <c r="AD8" s="25" t="n"/>
      <c r="AE8" s="108" t="n"/>
      <c r="AF8" s="25" t="n"/>
      <c r="AG8" s="108" t="n"/>
      <c r="AH8" s="108" t="n"/>
      <c r="AI8" s="105">
        <f>+AC8+AE8+AG8+AH8</f>
        <v/>
      </c>
      <c r="AJ8" s="105">
        <f>+AA8-AI8</f>
        <v/>
      </c>
      <c r="AK8" s="21">
        <f>IF(Q8="ANULADA","N/A",IF(ABS(AJ8)&gt;10,"Pendiente",IF(MAX(AB8,AD8,AF8)=0,"Pendiente",MAX(0,MAX(AB8,AD8,AF8)-O8))))</f>
        <v/>
      </c>
    </row>
    <row r="9" hidden="1" ht="15" customHeight="1">
      <c r="A9" s="25" t="inlineStr">
        <is>
          <t>00-173</t>
        </is>
      </c>
      <c r="B9" s="25" t="inlineStr">
        <is>
          <t>FIDEICOMISO MARINAS DEL PLATA</t>
        </is>
      </c>
      <c r="C9" s="25" t="inlineStr">
        <is>
          <t>EDIFICIOS MD 2 y 3 (Pto. NIZUC)</t>
        </is>
      </c>
      <c r="D9" s="13" t="n"/>
      <c r="E9" s="13" t="n"/>
      <c r="F9" s="13" t="n"/>
      <c r="G9" s="13" t="inlineStr">
        <is>
          <t>Básico</t>
        </is>
      </c>
      <c r="H9" s="23" t="n">
        <v>45809</v>
      </c>
      <c r="I9" s="104" t="n"/>
      <c r="J9" s="108" t="n">
        <v>105095937.857708</v>
      </c>
      <c r="K9" s="108" t="n">
        <v>105095937.857708</v>
      </c>
      <c r="L9" s="13" t="n"/>
      <c r="M9" s="25" t="inlineStr">
        <is>
          <t>FC A</t>
        </is>
      </c>
      <c r="N9" s="27" t="n">
        <v>2520</v>
      </c>
      <c r="O9" s="106" t="n">
        <v>45946</v>
      </c>
      <c r="P9" s="25" t="inlineStr">
        <is>
          <t>Certificado Básico Nº 4 - Jun'25. - EDIFICIOS MD 2 y 3 (Pto. NIZUC) (00173)</t>
        </is>
      </c>
      <c r="Q9" s="25" t="inlineStr">
        <is>
          <t>ANULADA</t>
        </is>
      </c>
      <c r="R9" s="25" t="n">
        <v>347</v>
      </c>
      <c r="S9" s="105">
        <f>+J9</f>
        <v/>
      </c>
      <c r="T9" s="108" t="n"/>
      <c r="U9" s="108">
        <f>+S9*21%</f>
        <v/>
      </c>
      <c r="V9" s="108">
        <f>+S9*3%</f>
        <v/>
      </c>
      <c r="W9" s="108">
        <f>+S9*2.5%</f>
        <v/>
      </c>
      <c r="X9" s="108">
        <f>IF(A9="00-175",S9*0.06,0)</f>
        <v/>
      </c>
      <c r="Y9" s="108" t="n"/>
      <c r="Z9" s="108" t="n"/>
      <c r="AA9" s="108">
        <f>+S9+T9+U9+W9+X9+V9+Y9</f>
        <v/>
      </c>
      <c r="AB9" s="110" t="n"/>
      <c r="AC9" s="108" t="n"/>
      <c r="AD9" s="25" t="n"/>
      <c r="AE9" s="108" t="n"/>
      <c r="AF9" s="25" t="n"/>
      <c r="AG9" s="108" t="n"/>
      <c r="AH9" s="108" t="n"/>
      <c r="AI9" s="105">
        <f>+AC9+AE9+AG9+AH9</f>
        <v/>
      </c>
      <c r="AJ9" s="105">
        <f>+AA9-AI9</f>
        <v/>
      </c>
      <c r="AK9" s="21">
        <f>IF(Q9="ANULADA","N/A",IF(ABS(AJ9)&gt;10,"Pendiente",IF(MAX(AB9,AD9,AF9)=0,"Pendiente",MAX(0,MAX(AB9,AD9,AF9)-O9))))</f>
        <v/>
      </c>
    </row>
    <row r="10" hidden="1" ht="15" customHeight="1">
      <c r="A10" s="25" t="inlineStr">
        <is>
          <t>00-173</t>
        </is>
      </c>
      <c r="B10" s="25" t="inlineStr">
        <is>
          <t>FIDEICOMISO MARINAS DEL PLATA</t>
        </is>
      </c>
      <c r="C10" s="25" t="inlineStr">
        <is>
          <t>EDIFICIOS MD 2 y 3 (Pto. NIZUC)</t>
        </is>
      </c>
      <c r="D10" s="13" t="n"/>
      <c r="E10" s="13" t="n"/>
      <c r="F10" s="13" t="n"/>
      <c r="G10" s="13" t="inlineStr">
        <is>
          <t>Básico</t>
        </is>
      </c>
      <c r="H10" s="23" t="n">
        <v>45839</v>
      </c>
      <c r="I10" s="104" t="n"/>
      <c r="J10" s="108" t="n">
        <v>107539810.996047</v>
      </c>
      <c r="K10" s="108" t="n">
        <v>107539810.996047</v>
      </c>
      <c r="L10" s="13" t="n"/>
      <c r="M10" s="25" t="inlineStr">
        <is>
          <t>FC A</t>
        </is>
      </c>
      <c r="N10" s="27" t="n">
        <v>2521</v>
      </c>
      <c r="O10" s="106" t="n">
        <v>45946</v>
      </c>
      <c r="P10" s="25" t="inlineStr">
        <is>
          <t>Certificado Básico Nº 5 - Jul'25.. - EDIFICIOS MD 2 y 3 (Pto. NIZUC) (00173)</t>
        </is>
      </c>
      <c r="Q10" s="25" t="inlineStr">
        <is>
          <t>ANULADA</t>
        </is>
      </c>
      <c r="R10" s="25" t="n">
        <v>348</v>
      </c>
      <c r="S10" s="105">
        <f>+J10</f>
        <v/>
      </c>
      <c r="T10" s="108" t="n"/>
      <c r="U10" s="108">
        <f>+S10*21%</f>
        <v/>
      </c>
      <c r="V10" s="108">
        <f>+S10*3%</f>
        <v/>
      </c>
      <c r="W10" s="108">
        <f>+S10*2.5%</f>
        <v/>
      </c>
      <c r="X10" s="108">
        <f>IF(A10="00-175",S10*0.06,0)</f>
        <v/>
      </c>
      <c r="Y10" s="108" t="n"/>
      <c r="Z10" s="108" t="n"/>
      <c r="AA10" s="108">
        <f>+S10+T10+U10+W10+X10+V10+Y10</f>
        <v/>
      </c>
      <c r="AB10" s="110" t="n"/>
      <c r="AC10" s="108" t="n"/>
      <c r="AD10" s="25" t="n"/>
      <c r="AE10" s="108" t="n"/>
      <c r="AF10" s="25" t="n"/>
      <c r="AG10" s="108" t="n"/>
      <c r="AH10" s="108" t="n"/>
      <c r="AI10" s="105">
        <f>+AC10+AE10+AG10+AH10</f>
        <v/>
      </c>
      <c r="AJ10" s="105">
        <f>+AA10-AI10</f>
        <v/>
      </c>
      <c r="AK10" s="21">
        <f>IF(Q10="ANULADA","N/A",IF(ABS(AJ10)&gt;10,"Pendiente",IF(MAX(AB10,AD10,AF10)=0,"Pendiente",MAX(0,MAX(AB10,AD10,AF10)-O10))))</f>
        <v/>
      </c>
    </row>
    <row r="11" hidden="1" ht="15" customHeight="1">
      <c r="A11" s="25" t="inlineStr">
        <is>
          <t>00-173</t>
        </is>
      </c>
      <c r="B11" s="25" t="inlineStr">
        <is>
          <t>FIDEICOMISO MARINAS DEL PLATA</t>
        </is>
      </c>
      <c r="C11" s="25" t="inlineStr">
        <is>
          <t>EDIFICIOS MD 2 y 3 (Pto. NIZUC)</t>
        </is>
      </c>
      <c r="D11" s="13" t="n"/>
      <c r="E11" s="13" t="n"/>
      <c r="F11" s="13" t="n"/>
      <c r="G11" s="13" t="inlineStr">
        <is>
          <t>Básico</t>
        </is>
      </c>
      <c r="H11" s="23" t="n">
        <v>45870</v>
      </c>
      <c r="I11" s="104" t="n"/>
      <c r="J11" s="108" t="n">
        <v>103377251.185771</v>
      </c>
      <c r="K11" s="108" t="n">
        <v>103377251.185771</v>
      </c>
      <c r="L11" s="13" t="n"/>
      <c r="M11" s="25" t="inlineStr">
        <is>
          <t>FC A</t>
        </is>
      </c>
      <c r="N11" s="27" t="n">
        <v>2522</v>
      </c>
      <c r="O11" s="106" t="n">
        <v>45946</v>
      </c>
      <c r="P11" s="25" t="inlineStr">
        <is>
          <t>Certificado Básico Nº 6 - Ago'25. - EDIFICIOS MD 2 y 3 (Pto. NIZUC) (00173)</t>
        </is>
      </c>
      <c r="Q11" s="25" t="inlineStr">
        <is>
          <t>ANULADA</t>
        </is>
      </c>
      <c r="R11" s="25" t="n">
        <v>349</v>
      </c>
      <c r="S11" s="105">
        <f>+J11</f>
        <v/>
      </c>
      <c r="T11" s="108" t="n"/>
      <c r="U11" s="108">
        <f>+S11*21%</f>
        <v/>
      </c>
      <c r="V11" s="108">
        <f>+S11*3%</f>
        <v/>
      </c>
      <c r="W11" s="108">
        <f>+S11*2.5%</f>
        <v/>
      </c>
      <c r="X11" s="108">
        <f>IF(A11="00-175",S11*0.06,0)</f>
        <v/>
      </c>
      <c r="Y11" s="108" t="n"/>
      <c r="Z11" s="108" t="n"/>
      <c r="AA11" s="108">
        <f>+S11+T11+U11+W11+X11+V11+Y11</f>
        <v/>
      </c>
      <c r="AB11" s="110" t="n"/>
      <c r="AC11" s="108" t="n"/>
      <c r="AD11" s="25" t="n"/>
      <c r="AE11" s="108" t="n"/>
      <c r="AF11" s="25" t="n"/>
      <c r="AG11" s="108" t="n"/>
      <c r="AH11" s="108" t="n"/>
      <c r="AI11" s="105">
        <f>+AC11+AE11+AG11+AH11</f>
        <v/>
      </c>
      <c r="AJ11" s="105">
        <f>+AA11-AI11</f>
        <v/>
      </c>
      <c r="AK11" s="21">
        <f>IF(Q11="ANULADA","N/A",IF(ABS(AJ11)&gt;10,"Pendiente",IF(MAX(AB11,AD11,AF11)=0,"Pendiente",MAX(0,MAX(AB11,AD11,AF11)-O11))))</f>
        <v/>
      </c>
    </row>
    <row r="12" hidden="1" ht="15" customHeight="1">
      <c r="A12" s="25" t="inlineStr">
        <is>
          <t>00-173</t>
        </is>
      </c>
      <c r="B12" s="25" t="inlineStr">
        <is>
          <t>FIDEICOMISO MARINAS DEL PLATA</t>
        </is>
      </c>
      <c r="C12" s="25" t="inlineStr">
        <is>
          <t>EDIFICIOS MD 2 y 3 (Pto. NIZUC)</t>
        </is>
      </c>
      <c r="D12" s="13" t="n"/>
      <c r="E12" s="13" t="n"/>
      <c r="F12" s="13" t="n"/>
      <c r="G12" s="13" t="inlineStr">
        <is>
          <t>Redet.</t>
        </is>
      </c>
      <c r="H12" s="23" t="n">
        <v>45717</v>
      </c>
      <c r="I12" s="104" t="n"/>
      <c r="J12" s="108" t="n">
        <v>26183550</v>
      </c>
      <c r="K12" s="108" t="n">
        <v>26183550</v>
      </c>
      <c r="L12" s="13" t="n"/>
      <c r="M12" s="25" t="inlineStr">
        <is>
          <t>FC A</t>
        </is>
      </c>
      <c r="N12" s="27" t="n">
        <v>2523</v>
      </c>
      <c r="O12" s="106" t="n">
        <v>45946</v>
      </c>
      <c r="P12" s="25" t="inlineStr">
        <is>
          <t>Certificado Redeterminado Básico Nº 1 - Mar'25. - EDIFICIOS MD 2 y 3 (Pto. NIZUC) (00173)</t>
        </is>
      </c>
      <c r="Q12" s="25" t="inlineStr">
        <is>
          <t>ANULADA</t>
        </is>
      </c>
      <c r="R12" s="25" t="n">
        <v>350</v>
      </c>
      <c r="S12" s="105">
        <f>+J12</f>
        <v/>
      </c>
      <c r="T12" s="108" t="n"/>
      <c r="U12" s="108">
        <f>+S12*21%</f>
        <v/>
      </c>
      <c r="V12" s="108">
        <f>+S12*3%</f>
        <v/>
      </c>
      <c r="W12" s="108">
        <f>+S12*2.5%</f>
        <v/>
      </c>
      <c r="X12" s="108">
        <f>IF(A12="00-175",S12*0.06,0)</f>
        <v/>
      </c>
      <c r="Y12" s="108" t="n"/>
      <c r="Z12" s="108" t="n"/>
      <c r="AA12" s="108">
        <f>+S12+T12+U12+W12+X12+V12+Y12</f>
        <v/>
      </c>
      <c r="AB12" s="110" t="n"/>
      <c r="AC12" s="108" t="n"/>
      <c r="AD12" s="25" t="n"/>
      <c r="AE12" s="108" t="n"/>
      <c r="AF12" s="25" t="n"/>
      <c r="AG12" s="108" t="n"/>
      <c r="AH12" s="108" t="n"/>
      <c r="AI12" s="105">
        <f>+AC12+AE12+AG12+AH12</f>
        <v/>
      </c>
      <c r="AJ12" s="105">
        <f>+AA12-AI12</f>
        <v/>
      </c>
      <c r="AK12" s="21">
        <f>IF(Q12="ANULADA","N/A",IF(ABS(AJ12)&gt;10,"Pendiente",IF(MAX(AB12,AD12,AF12)=0,"Pendiente",MAX(0,MAX(AB12,AD12,AF12)-O12))))</f>
        <v/>
      </c>
    </row>
    <row r="13" hidden="1" ht="15" customHeight="1">
      <c r="A13" s="25" t="inlineStr">
        <is>
          <t>00-173</t>
        </is>
      </c>
      <c r="B13" s="25" t="inlineStr">
        <is>
          <t>FIDEICOMISO MARINAS DEL PLATA</t>
        </is>
      </c>
      <c r="C13" s="25" t="inlineStr">
        <is>
          <t>EDIFICIOS MD 2 y 3 (Pto. NIZUC)</t>
        </is>
      </c>
      <c r="D13" s="13" t="n"/>
      <c r="E13" s="13" t="n"/>
      <c r="F13" s="13" t="n"/>
      <c r="G13" s="13" t="inlineStr">
        <is>
          <t>Redet.</t>
        </is>
      </c>
      <c r="H13" s="23" t="n">
        <v>45748</v>
      </c>
      <c r="I13" s="104" t="n"/>
      <c r="J13" s="108" t="n">
        <v>17642182.339921</v>
      </c>
      <c r="K13" s="108" t="n">
        <v>17642182.339921</v>
      </c>
      <c r="L13" s="13" t="n"/>
      <c r="M13" s="25" t="inlineStr">
        <is>
          <t>FC A</t>
        </is>
      </c>
      <c r="N13" s="27" t="n">
        <v>2524</v>
      </c>
      <c r="O13" s="106" t="n">
        <v>45946</v>
      </c>
      <c r="P13" s="25" t="inlineStr">
        <is>
          <t>Certificado Redeterminado Básico Nº 2 - Abr'25. - EDIFICIOS MD 2 y 3 (Pto. NIZUC) (00173)</t>
        </is>
      </c>
      <c r="Q13" s="25" t="inlineStr">
        <is>
          <t>ANULADA</t>
        </is>
      </c>
      <c r="R13" s="25" t="n">
        <v>351</v>
      </c>
      <c r="S13" s="105">
        <f>+J13</f>
        <v/>
      </c>
      <c r="T13" s="108" t="n"/>
      <c r="U13" s="108">
        <f>+S13*21%</f>
        <v/>
      </c>
      <c r="V13" s="108">
        <f>+S13*3%</f>
        <v/>
      </c>
      <c r="W13" s="108">
        <f>+S13*2.5%</f>
        <v/>
      </c>
      <c r="X13" s="108">
        <f>IF(A13="00-175",S13*0.06,0)</f>
        <v/>
      </c>
      <c r="Y13" s="108" t="n"/>
      <c r="Z13" s="108" t="n"/>
      <c r="AA13" s="108">
        <f>+S13+T13+U13+W13+X13+V13+Y13</f>
        <v/>
      </c>
      <c r="AB13" s="110" t="n"/>
      <c r="AC13" s="108" t="n"/>
      <c r="AD13" s="25" t="n"/>
      <c r="AE13" s="108" t="n"/>
      <c r="AF13" s="25" t="n"/>
      <c r="AG13" s="108" t="n"/>
      <c r="AH13" s="108" t="n"/>
      <c r="AI13" s="105">
        <f>+AC13+AE13+AG13+AH13</f>
        <v/>
      </c>
      <c r="AJ13" s="105">
        <f>+AA13-AI13</f>
        <v/>
      </c>
      <c r="AK13" s="21">
        <f>IF(Q13="ANULADA","N/A",IF(ABS(AJ13)&gt;10,"Pendiente",IF(MAX(AB13,AD13,AF13)=0,"Pendiente",MAX(0,MAX(AB13,AD13,AF13)-O13))))</f>
        <v/>
      </c>
    </row>
    <row r="14" hidden="1" ht="15" customHeight="1">
      <c r="A14" s="25" t="inlineStr">
        <is>
          <t>00-173</t>
        </is>
      </c>
      <c r="B14" s="25" t="inlineStr">
        <is>
          <t>FIDEICOMISO MARINAS DEL PLATA</t>
        </is>
      </c>
      <c r="C14" s="25" t="inlineStr">
        <is>
          <t>EDIFICIOS MD 2 y 3 (Pto. NIZUC)</t>
        </is>
      </c>
      <c r="D14" s="13" t="n"/>
      <c r="E14" s="13" t="n"/>
      <c r="F14" s="13" t="n"/>
      <c r="G14" s="13" t="inlineStr">
        <is>
          <t>Redet.</t>
        </is>
      </c>
      <c r="H14" s="23" t="n">
        <v>45809</v>
      </c>
      <c r="I14" s="104" t="n"/>
      <c r="J14" s="108" t="n">
        <v>29083534.1343874</v>
      </c>
      <c r="K14" s="108" t="n">
        <v>29083534.1343874</v>
      </c>
      <c r="L14" s="13" t="n"/>
      <c r="M14" s="25" t="inlineStr">
        <is>
          <t>FC A</t>
        </is>
      </c>
      <c r="N14" s="27" t="n">
        <v>2525</v>
      </c>
      <c r="O14" s="106" t="n">
        <v>45946</v>
      </c>
      <c r="P14" s="25" t="inlineStr">
        <is>
          <t>Certificado Redeterminado Básico Nº 4 - Jun'25.. - EDIFICIOS MD 2 y 3 (Pto. NIZUC) (00173)</t>
        </is>
      </c>
      <c r="Q14" s="25" t="inlineStr">
        <is>
          <t>ANULADA</t>
        </is>
      </c>
      <c r="R14" s="25" t="n">
        <v>352</v>
      </c>
      <c r="S14" s="105">
        <f>+J14</f>
        <v/>
      </c>
      <c r="T14" s="108" t="n"/>
      <c r="U14" s="108">
        <f>+S14*21%</f>
        <v/>
      </c>
      <c r="V14" s="108">
        <f>+S14*3%</f>
        <v/>
      </c>
      <c r="W14" s="108">
        <f>+S14*2.5%</f>
        <v/>
      </c>
      <c r="X14" s="108">
        <f>IF(A14="00-175",S14*0.06,0)</f>
        <v/>
      </c>
      <c r="Y14" s="108" t="n"/>
      <c r="Z14" s="108" t="n"/>
      <c r="AA14" s="108">
        <f>+S14+T14+U14+W14+X14+V14+Y14</f>
        <v/>
      </c>
      <c r="AB14" s="110" t="n"/>
      <c r="AC14" s="108" t="n"/>
      <c r="AD14" s="25" t="n"/>
      <c r="AE14" s="108" t="n"/>
      <c r="AF14" s="25" t="n"/>
      <c r="AG14" s="108" t="n"/>
      <c r="AH14" s="108" t="n"/>
      <c r="AI14" s="105">
        <f>+AC14+AE14+AG14+AH14</f>
        <v/>
      </c>
      <c r="AJ14" s="105">
        <f>+AA14-AI14</f>
        <v/>
      </c>
      <c r="AK14" s="21">
        <f>IF(Q14="ANULADA","N/A",IF(ABS(AJ14)&gt;10,"Pendiente",IF(MAX(AB14,AD14,AF14)=0,"Pendiente",MAX(0,MAX(AB14,AD14,AF14)-O14))))</f>
        <v/>
      </c>
    </row>
    <row r="15" hidden="1" ht="15" customHeight="1">
      <c r="A15" s="25" t="inlineStr">
        <is>
          <t>00-173</t>
        </is>
      </c>
      <c r="B15" s="25" t="inlineStr">
        <is>
          <t>FIDEICOMISO MARINAS DEL PLATA</t>
        </is>
      </c>
      <c r="C15" s="25" t="inlineStr">
        <is>
          <t>EDIFICIOS MD 2 y 3 (Pto. NIZUC)</t>
        </is>
      </c>
      <c r="D15" s="13" t="n"/>
      <c r="E15" s="13" t="n"/>
      <c r="F15" s="13" t="n"/>
      <c r="G15" s="13" t="inlineStr">
        <is>
          <t>Redet.</t>
        </is>
      </c>
      <c r="H15" s="23" t="n">
        <v>45778</v>
      </c>
      <c r="I15" s="104" t="n"/>
      <c r="J15" s="108" t="n">
        <v>16929640.2529644</v>
      </c>
      <c r="K15" s="108" t="n">
        <v>16929640.2529644</v>
      </c>
      <c r="L15" s="13" t="n"/>
      <c r="M15" s="25" t="inlineStr">
        <is>
          <t>FC A</t>
        </is>
      </c>
      <c r="N15" s="27" t="n">
        <v>2526</v>
      </c>
      <c r="O15" s="106" t="n">
        <v>45946</v>
      </c>
      <c r="P15" s="25" t="inlineStr">
        <is>
          <t>Certificado Redeterminado Básico Nº 3 - May'25.. - EDIFICIOS MD 2 y 3 (Pto. NIZUC) (00173)</t>
        </is>
      </c>
      <c r="Q15" s="25" t="inlineStr">
        <is>
          <t>ANULADA</t>
        </is>
      </c>
      <c r="R15" s="25" t="n">
        <v>353</v>
      </c>
      <c r="S15" s="105">
        <f>+J15</f>
        <v/>
      </c>
      <c r="T15" s="108" t="n"/>
      <c r="U15" s="108">
        <f>+S15*21%</f>
        <v/>
      </c>
      <c r="V15" s="108">
        <f>+S15*3%</f>
        <v/>
      </c>
      <c r="W15" s="108">
        <f>+S15*2.5%</f>
        <v/>
      </c>
      <c r="X15" s="108">
        <f>IF(A15="00-175",S15*0.06,0)</f>
        <v/>
      </c>
      <c r="Y15" s="108" t="n"/>
      <c r="Z15" s="108" t="n"/>
      <c r="AA15" s="108">
        <f>+S15+T15+U15+W15+X15+V15+Y15</f>
        <v/>
      </c>
      <c r="AB15" s="110" t="n"/>
      <c r="AC15" s="108" t="n"/>
      <c r="AD15" s="25" t="n"/>
      <c r="AE15" s="108" t="n"/>
      <c r="AF15" s="25" t="n"/>
      <c r="AG15" s="108" t="n"/>
      <c r="AH15" s="108" t="n"/>
      <c r="AI15" s="105">
        <f>+AC15+AE15+AG15+AH15</f>
        <v/>
      </c>
      <c r="AJ15" s="105">
        <f>+AA15-AI15</f>
        <v/>
      </c>
      <c r="AK15" s="21">
        <f>IF(Q15="ANULADA","N/A",IF(ABS(AJ15)&gt;10,"Pendiente",IF(MAX(AB15,AD15,AF15)=0,"Pendiente",MAX(0,MAX(AB15,AD15,AF15)-O15))))</f>
        <v/>
      </c>
    </row>
    <row r="16" hidden="1" ht="15" customHeight="1">
      <c r="A16" s="25" t="inlineStr">
        <is>
          <t>00-173</t>
        </is>
      </c>
      <c r="B16" s="25" t="inlineStr">
        <is>
          <t>FIDEICOMISO MARINAS DEL PLATA</t>
        </is>
      </c>
      <c r="C16" s="25" t="inlineStr">
        <is>
          <t>EDIFICIOS MD 2 y 3 (Pto. NIZUC)</t>
        </is>
      </c>
      <c r="D16" s="13" t="n"/>
      <c r="E16" s="13" t="n"/>
      <c r="F16" s="13" t="n"/>
      <c r="G16" s="13" t="inlineStr">
        <is>
          <t>Redet.</t>
        </is>
      </c>
      <c r="H16" s="23" t="n">
        <v>45839</v>
      </c>
      <c r="I16" s="104" t="n"/>
      <c r="J16" s="108" t="n">
        <v>26140241.6679842</v>
      </c>
      <c r="K16" s="108" t="n">
        <v>26140241.6679842</v>
      </c>
      <c r="L16" s="13" t="n"/>
      <c r="M16" s="25" t="inlineStr">
        <is>
          <t>FC A</t>
        </is>
      </c>
      <c r="N16" s="27" t="n">
        <v>2527</v>
      </c>
      <c r="O16" s="106" t="n">
        <v>45946</v>
      </c>
      <c r="P16" s="25" t="inlineStr">
        <is>
          <t>Certificado Redeterminado Básico Nº 5 - Jul'25.. - EDIFICIOS MD 2 y 3 (Pto. NIZUC) (00173)</t>
        </is>
      </c>
      <c r="Q16" s="25" t="inlineStr">
        <is>
          <t>ANULADA</t>
        </is>
      </c>
      <c r="R16" s="25" t="n">
        <v>354</v>
      </c>
      <c r="S16" s="105">
        <f>+J16</f>
        <v/>
      </c>
      <c r="T16" s="108" t="n"/>
      <c r="U16" s="108">
        <f>+S16*21%</f>
        <v/>
      </c>
      <c r="V16" s="108">
        <f>+S16*3%</f>
        <v/>
      </c>
      <c r="W16" s="108">
        <f>+S16*2.5%</f>
        <v/>
      </c>
      <c r="X16" s="108">
        <f>IF(A16="00-175",S16*0.06,0)</f>
        <v/>
      </c>
      <c r="Y16" s="108" t="n"/>
      <c r="Z16" s="108" t="n"/>
      <c r="AA16" s="108">
        <f>+S16+T16+U16+W16+X16+V16+Y16</f>
        <v/>
      </c>
      <c r="AB16" s="110" t="n"/>
      <c r="AC16" s="108" t="n"/>
      <c r="AD16" s="25" t="n"/>
      <c r="AE16" s="108" t="n"/>
      <c r="AF16" s="25" t="n"/>
      <c r="AG16" s="108" t="n"/>
      <c r="AH16" s="108" t="n"/>
      <c r="AI16" s="105">
        <f>+AC16+AE16+AG16+AH16</f>
        <v/>
      </c>
      <c r="AJ16" s="105">
        <f>+AA16-AI16</f>
        <v/>
      </c>
      <c r="AK16" s="21">
        <f>IF(Q16="ANULADA","N/A",IF(ABS(AJ16)&gt;10,"Pendiente",IF(MAX(AB16,AD16,AF16)=0,"Pendiente",MAX(0,MAX(AB16,AD16,AF16)-O16))))</f>
        <v/>
      </c>
    </row>
    <row r="17" hidden="1" ht="15" customHeight="1">
      <c r="A17" s="25" t="inlineStr">
        <is>
          <t>00-173</t>
        </is>
      </c>
      <c r="B17" s="25" t="inlineStr">
        <is>
          <t>FIDEICOMISO MARINAS DEL PLATA</t>
        </is>
      </c>
      <c r="C17" s="25" t="inlineStr">
        <is>
          <t>EDIFICIOS MD 2 y 3 (Pto. NIZUC)</t>
        </is>
      </c>
      <c r="D17" s="13" t="n"/>
      <c r="E17" s="13" t="n"/>
      <c r="F17" s="13" t="n"/>
      <c r="G17" s="13" t="inlineStr">
        <is>
          <t>Redet.</t>
        </is>
      </c>
      <c r="H17" s="23" t="n">
        <v>45870</v>
      </c>
      <c r="I17" s="104" t="n"/>
      <c r="J17" s="108" t="n">
        <v>29337901.8656127</v>
      </c>
      <c r="K17" s="108" t="n">
        <v>29337901.8656127</v>
      </c>
      <c r="L17" s="13" t="n"/>
      <c r="M17" s="25" t="inlineStr">
        <is>
          <t>FC A</t>
        </is>
      </c>
      <c r="N17" s="27" t="n">
        <v>2528</v>
      </c>
      <c r="O17" s="106" t="n">
        <v>45946</v>
      </c>
      <c r="P17" s="25" t="inlineStr">
        <is>
          <t>Certificado Redeterminado Básico Nº 6 - Ago'25.. - EDIFICIOS MD 2 y 3 (Pto. NIZUC) (00173)</t>
        </is>
      </c>
      <c r="Q17" s="25" t="inlineStr">
        <is>
          <t>ANULADA</t>
        </is>
      </c>
      <c r="R17" s="25" t="n">
        <v>355</v>
      </c>
      <c r="S17" s="105">
        <f>+J17</f>
        <v/>
      </c>
      <c r="T17" s="108" t="n"/>
      <c r="U17" s="108">
        <f>+S17*21%</f>
        <v/>
      </c>
      <c r="V17" s="108">
        <f>+S17*3%</f>
        <v/>
      </c>
      <c r="W17" s="108">
        <f>+S17*2.5%</f>
        <v/>
      </c>
      <c r="X17" s="108">
        <f>IF(A17="00-175",S17*0.06,0)</f>
        <v/>
      </c>
      <c r="Y17" s="108" t="n"/>
      <c r="Z17" s="108" t="n"/>
      <c r="AA17" s="108">
        <f>+S17+T17+U17+W17+X17+V17+Y17</f>
        <v/>
      </c>
      <c r="AB17" s="110" t="n"/>
      <c r="AC17" s="108" t="n"/>
      <c r="AD17" s="25" t="n"/>
      <c r="AE17" s="108" t="n"/>
      <c r="AF17" s="25" t="n"/>
      <c r="AG17" s="108" t="n"/>
      <c r="AH17" s="108" t="n"/>
      <c r="AI17" s="105">
        <f>+AC17+AE17+AG17+AH17</f>
        <v/>
      </c>
      <c r="AJ17" s="105">
        <f>+AA17-AI17</f>
        <v/>
      </c>
      <c r="AK17" s="21">
        <f>IF(Q17="ANULADA","N/A",IF(ABS(AJ17)&gt;10,"Pendiente",IF(MAX(AB17,AD17,AF17)=0,"Pendiente",MAX(0,MAX(AB17,AD17,AF17)-O17))))</f>
        <v/>
      </c>
    </row>
    <row r="18" hidden="1" ht="15" customHeight="1">
      <c r="A18" s="25" t="inlineStr">
        <is>
          <t>00-173</t>
        </is>
      </c>
      <c r="B18" s="25" t="inlineStr">
        <is>
          <t>FIDEICOMISO MARINAS DEL PLATA</t>
        </is>
      </c>
      <c r="C18" s="25" t="inlineStr">
        <is>
          <t>EDIFICIOS MD 2 y 3 (Pto. NIZUC)</t>
        </is>
      </c>
      <c r="D18" s="13" t="n"/>
      <c r="E18" s="13" t="n"/>
      <c r="F18" s="13" t="n"/>
      <c r="G18" s="13" t="inlineStr">
        <is>
          <t>Básico</t>
        </is>
      </c>
      <c r="H18" s="23" t="n">
        <v>45717</v>
      </c>
      <c r="I18" s="104" t="n"/>
      <c r="J18" s="108" t="n">
        <v>32531277.826087</v>
      </c>
      <c r="K18" s="108" t="n">
        <v>32531277.826087</v>
      </c>
      <c r="L18" s="13" t="n"/>
      <c r="M18" s="25" t="inlineStr">
        <is>
          <t>FC A</t>
        </is>
      </c>
      <c r="N18" s="27" t="n">
        <v>2529</v>
      </c>
      <c r="O18" s="106" t="n">
        <v>45946</v>
      </c>
      <c r="P18" s="25" t="inlineStr">
        <is>
          <t>Certificado Costes y Costas Nº 1 - Mar'25.. - EDIFICIOS MD 2 y 3 (Pto. NIZUC) (00173)</t>
        </is>
      </c>
      <c r="Q18" s="25" t="inlineStr">
        <is>
          <t>ANULADA</t>
        </is>
      </c>
      <c r="R18" s="25" t="n">
        <v>356</v>
      </c>
      <c r="S18" s="105">
        <f>+J18</f>
        <v/>
      </c>
      <c r="T18" s="108" t="n"/>
      <c r="U18" s="108">
        <f>+S18*21%</f>
        <v/>
      </c>
      <c r="V18" s="108">
        <f>+S18*3%</f>
        <v/>
      </c>
      <c r="W18" s="108">
        <f>+S18*2.5%</f>
        <v/>
      </c>
      <c r="X18" s="108">
        <f>IF(A18="00-175",S18*0.06,0)</f>
        <v/>
      </c>
      <c r="Y18" s="108" t="n"/>
      <c r="Z18" s="108" t="n"/>
      <c r="AA18" s="108">
        <f>+S18+T18+U18+W18+X18+V18+Y18</f>
        <v/>
      </c>
      <c r="AB18" s="110" t="n"/>
      <c r="AC18" s="108" t="n"/>
      <c r="AD18" s="25" t="n"/>
      <c r="AE18" s="108" t="n"/>
      <c r="AF18" s="25" t="n"/>
      <c r="AG18" s="108" t="n"/>
      <c r="AH18" s="108" t="n"/>
      <c r="AI18" s="105">
        <f>+AC18+AE18+AG18+AH18</f>
        <v/>
      </c>
      <c r="AJ18" s="105">
        <f>+AA18-AI18</f>
        <v/>
      </c>
      <c r="AK18" s="21">
        <f>IF(Q18="ANULADA","N/A",IF(ABS(AJ18)&gt;10,"Pendiente",IF(MAX(AB18,AD18,AF18)=0,"Pendiente",MAX(0,MAX(AB18,AD18,AF18)-O18))))</f>
        <v/>
      </c>
    </row>
    <row r="19" hidden="1" ht="15" customHeight="1">
      <c r="A19" s="25" t="inlineStr">
        <is>
          <t>00-173</t>
        </is>
      </c>
      <c r="B19" s="25" t="inlineStr">
        <is>
          <t>FIDEICOMISO MARINAS DEL PLATA</t>
        </is>
      </c>
      <c r="C19" s="25" t="inlineStr">
        <is>
          <t>EDIFICIOS MD 2 y 3 (Pto. NIZUC)</t>
        </is>
      </c>
      <c r="D19" s="13" t="n"/>
      <c r="E19" s="13" t="n"/>
      <c r="F19" s="13" t="n"/>
      <c r="G19" s="13" t="inlineStr">
        <is>
          <t>Básico</t>
        </is>
      </c>
      <c r="H19" s="23" t="n">
        <v>45748</v>
      </c>
      <c r="I19" s="104" t="n"/>
      <c r="J19" s="108" t="n">
        <v>11850245.5968379</v>
      </c>
      <c r="K19" s="108" t="n">
        <v>11850245.5968379</v>
      </c>
      <c r="L19" s="13" t="n"/>
      <c r="M19" s="25" t="inlineStr">
        <is>
          <t>FC A</t>
        </is>
      </c>
      <c r="N19" s="27" t="n">
        <v>2530</v>
      </c>
      <c r="O19" s="106" t="n">
        <v>45946</v>
      </c>
      <c r="P19" s="25" t="inlineStr">
        <is>
          <t>Certificado Costes y Costas Nº 2 - Abr'25.. - EDIFICIOS MD 2 y 3 (Pto. NIZUC) (00173)</t>
        </is>
      </c>
      <c r="Q19" s="25" t="inlineStr">
        <is>
          <t>ANULADA</t>
        </is>
      </c>
      <c r="R19" s="25" t="n">
        <v>357</v>
      </c>
      <c r="S19" s="105">
        <f>+J19</f>
        <v/>
      </c>
      <c r="T19" s="108" t="n"/>
      <c r="U19" s="108">
        <f>+S19*21%</f>
        <v/>
      </c>
      <c r="V19" s="108">
        <f>+S19*3%</f>
        <v/>
      </c>
      <c r="W19" s="108">
        <f>+S19*2.5%</f>
        <v/>
      </c>
      <c r="X19" s="108">
        <f>IF(A19="00-175",S19*0.06,0)</f>
        <v/>
      </c>
      <c r="Y19" s="108" t="n"/>
      <c r="Z19" s="108" t="n"/>
      <c r="AA19" s="108">
        <f>+S19+T19+U19+W19+X19+V19+Y19</f>
        <v/>
      </c>
      <c r="AB19" s="110" t="n"/>
      <c r="AC19" s="108" t="n"/>
      <c r="AD19" s="25" t="n"/>
      <c r="AE19" s="108" t="n"/>
      <c r="AF19" s="25" t="n"/>
      <c r="AG19" s="108" t="n"/>
      <c r="AH19" s="108" t="n"/>
      <c r="AI19" s="105">
        <f>+AC19+AE19+AG19+AH19</f>
        <v/>
      </c>
      <c r="AJ19" s="105">
        <f>+AA19-AI19</f>
        <v/>
      </c>
      <c r="AK19" s="21">
        <f>IF(Q19="ANULADA","N/A",IF(ABS(AJ19)&gt;10,"Pendiente",IF(MAX(AB19,AD19,AF19)=0,"Pendiente",MAX(0,MAX(AB19,AD19,AF19)-O19))))</f>
        <v/>
      </c>
    </row>
    <row r="20" hidden="1" ht="15" customHeight="1">
      <c r="A20" s="25" t="inlineStr">
        <is>
          <t>00-173</t>
        </is>
      </c>
      <c r="B20" s="25" t="inlineStr">
        <is>
          <t>FIDEICOMISO MARINAS DEL PLATA</t>
        </is>
      </c>
      <c r="C20" s="25" t="inlineStr">
        <is>
          <t>EDIFICIOS MD 2 y 3 (Pto. NIZUC)</t>
        </is>
      </c>
      <c r="D20" s="13" t="n"/>
      <c r="E20" s="13" t="n"/>
      <c r="F20" s="13" t="n"/>
      <c r="G20" s="13" t="inlineStr">
        <is>
          <t>Básico</t>
        </is>
      </c>
      <c r="H20" s="23" t="n">
        <v>45778</v>
      </c>
      <c r="I20" s="104" t="n"/>
      <c r="J20" s="108" t="n">
        <v>55595422.7114625</v>
      </c>
      <c r="K20" s="108" t="n">
        <v>55595422.7114625</v>
      </c>
      <c r="L20" s="13" t="n"/>
      <c r="M20" s="25" t="inlineStr">
        <is>
          <t>FC A</t>
        </is>
      </c>
      <c r="N20" s="27" t="n">
        <v>2531</v>
      </c>
      <c r="O20" s="106" t="n">
        <v>45946</v>
      </c>
      <c r="P20" s="25" t="inlineStr">
        <is>
          <t>Certificado Costes y Costas Nº 3 - May'25.. - EDIFICIOS MD 2 y 3 (Pto. NIZUC) (00173)</t>
        </is>
      </c>
      <c r="Q20" s="25" t="inlineStr">
        <is>
          <t>ANULADA</t>
        </is>
      </c>
      <c r="R20" s="25" t="n">
        <v>358</v>
      </c>
      <c r="S20" s="105">
        <f>+J20</f>
        <v/>
      </c>
      <c r="T20" s="108" t="n"/>
      <c r="U20" s="108">
        <f>+S20*21%</f>
        <v/>
      </c>
      <c r="V20" s="108">
        <f>+S20*3%</f>
        <v/>
      </c>
      <c r="W20" s="108">
        <f>+S20*2.5%</f>
        <v/>
      </c>
      <c r="X20" s="108">
        <f>IF(A20="00-175",S20*0.06,0)</f>
        <v/>
      </c>
      <c r="Y20" s="108" t="n"/>
      <c r="Z20" s="108" t="n"/>
      <c r="AA20" s="108">
        <f>+S20+T20+U20+W20+X20+V20+Y20</f>
        <v/>
      </c>
      <c r="AB20" s="110" t="n"/>
      <c r="AC20" s="108" t="n"/>
      <c r="AD20" s="25" t="n"/>
      <c r="AE20" s="108" t="n"/>
      <c r="AF20" s="25" t="n"/>
      <c r="AG20" s="108" t="n"/>
      <c r="AH20" s="108" t="n"/>
      <c r="AI20" s="105">
        <f>+AC20+AE20+AG20+AH20</f>
        <v/>
      </c>
      <c r="AJ20" s="105">
        <f>+AA20-AI20</f>
        <v/>
      </c>
      <c r="AK20" s="21">
        <f>IF(Q20="ANULADA","N/A",IF(ABS(AJ20)&gt;10,"Pendiente",IF(MAX(AB20,AD20,AF20)=0,"Pendiente",MAX(0,MAX(AB20,AD20,AF20)-O20))))</f>
        <v/>
      </c>
    </row>
    <row r="21" hidden="1" ht="15" customHeight="1">
      <c r="A21" s="25" t="inlineStr">
        <is>
          <t>00-173</t>
        </is>
      </c>
      <c r="B21" s="25" t="inlineStr">
        <is>
          <t>FIDEICOMISO MARINAS DEL PLATA</t>
        </is>
      </c>
      <c r="C21" s="25" t="inlineStr">
        <is>
          <t>EDIFICIOS MD 2 y 3 (Pto. NIZUC)</t>
        </is>
      </c>
      <c r="D21" s="13" t="n"/>
      <c r="E21" s="13" t="n"/>
      <c r="F21" s="13" t="n"/>
      <c r="G21" s="13" t="inlineStr">
        <is>
          <t>Básico</t>
        </is>
      </c>
      <c r="H21" s="23" t="n">
        <v>45809</v>
      </c>
      <c r="I21" s="104" t="n"/>
      <c r="J21" s="108" t="n">
        <v>74893393.4071146</v>
      </c>
      <c r="K21" s="108" t="n">
        <v>74893393.4071146</v>
      </c>
      <c r="L21" s="13" t="n"/>
      <c r="M21" s="25" t="inlineStr">
        <is>
          <t>FC A</t>
        </is>
      </c>
      <c r="N21" s="27" t="n">
        <v>2532</v>
      </c>
      <c r="O21" s="106" t="n">
        <v>45946</v>
      </c>
      <c r="P21" s="25" t="inlineStr">
        <is>
          <t>Certificado Costes y Costas Nº 4 - Jun'25.. - EDIFICIOS MD 2 y 3 (Pto. NIZUC) (00173)</t>
        </is>
      </c>
      <c r="Q21" s="25" t="inlineStr">
        <is>
          <t>ANULADA</t>
        </is>
      </c>
      <c r="R21" s="25" t="n">
        <v>359</v>
      </c>
      <c r="S21" s="105">
        <f>+J21</f>
        <v/>
      </c>
      <c r="T21" s="108" t="n"/>
      <c r="U21" s="108">
        <f>+S21*21%</f>
        <v/>
      </c>
      <c r="V21" s="108">
        <f>+S21*3%</f>
        <v/>
      </c>
      <c r="W21" s="108">
        <f>+S21*2.5%</f>
        <v/>
      </c>
      <c r="X21" s="108">
        <f>IF(A21="00-175",S21*0.06,0)</f>
        <v/>
      </c>
      <c r="Y21" s="108" t="n"/>
      <c r="Z21" s="108" t="n"/>
      <c r="AA21" s="108">
        <f>+S21+T21+U21+W21+X21+V21+Y21</f>
        <v/>
      </c>
      <c r="AB21" s="110" t="n"/>
      <c r="AC21" s="108" t="n"/>
      <c r="AD21" s="25" t="n"/>
      <c r="AE21" s="108" t="n"/>
      <c r="AF21" s="25" t="n"/>
      <c r="AG21" s="108" t="n"/>
      <c r="AH21" s="108" t="n"/>
      <c r="AI21" s="105">
        <f>+AC21+AE21+AG21+AH21</f>
        <v/>
      </c>
      <c r="AJ21" s="105">
        <f>+AA21-AI21</f>
        <v/>
      </c>
      <c r="AK21" s="21">
        <f>IF(Q21="ANULADA","N/A",IF(ABS(AJ21)&gt;10,"Pendiente",IF(MAX(AB21,AD21,AF21)=0,"Pendiente",MAX(0,MAX(AB21,AD21,AF21)-O21))))</f>
        <v/>
      </c>
    </row>
    <row r="22" hidden="1" ht="15" customHeight="1">
      <c r="A22" s="25" t="inlineStr">
        <is>
          <t>00-173</t>
        </is>
      </c>
      <c r="B22" s="25" t="inlineStr">
        <is>
          <t>FIDEICOMISO MARINAS DEL PLATA</t>
        </is>
      </c>
      <c r="C22" s="25" t="inlineStr">
        <is>
          <t>EDIFICIOS MD 2 y 3 (Pto. NIZUC)</t>
        </is>
      </c>
      <c r="D22" s="13" t="n"/>
      <c r="E22" s="13" t="n"/>
      <c r="F22" s="13" t="n"/>
      <c r="G22" s="13" t="inlineStr">
        <is>
          <t>Básico</t>
        </is>
      </c>
      <c r="H22" s="23" t="n">
        <v>45839</v>
      </c>
      <c r="I22" s="104" t="n"/>
      <c r="J22" s="108" t="n">
        <v>198818223.185771</v>
      </c>
      <c r="K22" s="108" t="n">
        <v>198818223.185771</v>
      </c>
      <c r="L22" s="13" t="n"/>
      <c r="M22" s="25" t="inlineStr">
        <is>
          <t>FC A</t>
        </is>
      </c>
      <c r="N22" s="27" t="n">
        <v>2533</v>
      </c>
      <c r="O22" s="106" t="n">
        <v>45946</v>
      </c>
      <c r="P22" s="25" t="inlineStr">
        <is>
          <t>Certificado Costes y Costas Nº 5 - Jul'25. - EDIFICIOS MD 2 y 3 (Pto. NIZUC) (00173)</t>
        </is>
      </c>
      <c r="Q22" s="25" t="inlineStr">
        <is>
          <t>ANULADA</t>
        </is>
      </c>
      <c r="R22" s="25" t="n">
        <v>360</v>
      </c>
      <c r="S22" s="105">
        <f>+J22</f>
        <v/>
      </c>
      <c r="T22" s="108" t="n"/>
      <c r="U22" s="108">
        <f>+S22*21%</f>
        <v/>
      </c>
      <c r="V22" s="108">
        <f>+S22*3%</f>
        <v/>
      </c>
      <c r="W22" s="108">
        <f>+S22*2.5%</f>
        <v/>
      </c>
      <c r="X22" s="108">
        <f>IF(A22="00-175",S22*0.06,0)</f>
        <v/>
      </c>
      <c r="Y22" s="108" t="n"/>
      <c r="Z22" s="108" t="n"/>
      <c r="AA22" s="108">
        <f>+S22+T22+U22+W22+X22+V22+Y22</f>
        <v/>
      </c>
      <c r="AB22" s="110" t="n"/>
      <c r="AC22" s="108" t="n"/>
      <c r="AD22" s="25" t="n"/>
      <c r="AE22" s="108" t="n"/>
      <c r="AF22" s="25" t="n"/>
      <c r="AG22" s="108" t="n"/>
      <c r="AH22" s="108" t="n"/>
      <c r="AI22" s="105">
        <f>+AC22+AE22+AG22+AH22</f>
        <v/>
      </c>
      <c r="AJ22" s="105">
        <f>+AA22-AI22</f>
        <v/>
      </c>
      <c r="AK22" s="21">
        <f>IF(Q22="ANULADA","N/A",IF(ABS(AJ22)&gt;10,"Pendiente",IF(MAX(AB22,AD22,AF22)=0,"Pendiente",MAX(0,MAX(AB22,AD22,AF22)-O22))))</f>
        <v/>
      </c>
    </row>
    <row r="23" hidden="1" ht="15" customHeight="1">
      <c r="A23" s="25" t="inlineStr">
        <is>
          <t>00-173</t>
        </is>
      </c>
      <c r="B23" s="25" t="inlineStr">
        <is>
          <t>FIDEICOMISO MARINAS DEL PLATA</t>
        </is>
      </c>
      <c r="C23" s="25" t="inlineStr">
        <is>
          <t>EDIFICIOS MD 2 y 3 (Pto. NIZUC)</t>
        </is>
      </c>
      <c r="D23" s="13" t="n"/>
      <c r="E23" s="13" t="n"/>
      <c r="F23" s="13" t="n"/>
      <c r="G23" s="13" t="inlineStr">
        <is>
          <t>Básico</t>
        </is>
      </c>
      <c r="H23" s="23" t="n">
        <v>45870</v>
      </c>
      <c r="I23" s="104" t="n"/>
      <c r="J23" s="108" t="n">
        <v>192552035.739131</v>
      </c>
      <c r="K23" s="108" t="n">
        <v>192552035.739131</v>
      </c>
      <c r="L23" s="13" t="n"/>
      <c r="M23" s="25" t="inlineStr">
        <is>
          <t>FC A</t>
        </is>
      </c>
      <c r="N23" s="27" t="n">
        <v>2534</v>
      </c>
      <c r="O23" s="106" t="n">
        <v>45946</v>
      </c>
      <c r="P23" s="25" t="inlineStr">
        <is>
          <t>Certificado Costes y Costas Nº 6 - Ago'25. - EDIFICIOS MD 2 y 3 (Pto. NIZUC) (00173)</t>
        </is>
      </c>
      <c r="Q23" s="25" t="inlineStr">
        <is>
          <t>ANULADA</t>
        </is>
      </c>
      <c r="R23" s="25" t="n">
        <v>361</v>
      </c>
      <c r="S23" s="105">
        <f>+J23</f>
        <v/>
      </c>
      <c r="T23" s="108" t="n"/>
      <c r="U23" s="108">
        <f>+S23*21%</f>
        <v/>
      </c>
      <c r="V23" s="108">
        <f>+S23*3%</f>
        <v/>
      </c>
      <c r="W23" s="108">
        <f>+S23*2.5%</f>
        <v/>
      </c>
      <c r="X23" s="108">
        <f>IF(A23="00-175",S23*0.06,0)</f>
        <v/>
      </c>
      <c r="Y23" s="108" t="n"/>
      <c r="Z23" s="108" t="n"/>
      <c r="AA23" s="108">
        <f>+S23+T23+U23+W23+X23+V23+Y23</f>
        <v/>
      </c>
      <c r="AB23" s="110" t="n"/>
      <c r="AC23" s="108" t="n"/>
      <c r="AD23" s="25" t="n"/>
      <c r="AE23" s="108" t="n"/>
      <c r="AF23" s="25" t="n"/>
      <c r="AG23" s="108" t="n"/>
      <c r="AH23" s="108" t="n"/>
      <c r="AI23" s="105">
        <f>+AC23+AE23+AG23+AH23</f>
        <v/>
      </c>
      <c r="AJ23" s="105">
        <f>+AA23-AI23</f>
        <v/>
      </c>
      <c r="AK23" s="21">
        <f>IF(Q23="ANULADA","N/A",IF(ABS(AJ23)&gt;10,"Pendiente",IF(MAX(AB23,AD23,AF23)=0,"Pendiente",MAX(0,MAX(AB23,AD23,AF23)-O23))))</f>
        <v/>
      </c>
    </row>
    <row r="24" hidden="1" ht="15" customHeight="1">
      <c r="A24" s="18" t="inlineStr">
        <is>
          <t>00-175</t>
        </is>
      </c>
      <c r="B24" s="18" t="inlineStr">
        <is>
          <t>NUEVA MARINAS DE HUDSON INVERSORA SA</t>
        </is>
      </c>
      <c r="C24" s="18" t="inlineStr">
        <is>
          <t>Laguna 4 - Puerto Nizuc</t>
        </is>
      </c>
      <c r="D24" s="13" t="inlineStr">
        <is>
          <t>Laguna 4</t>
        </is>
      </c>
      <c r="E24" s="13" t="n">
        <v>1</v>
      </c>
      <c r="F24" s="13" t="inlineStr">
        <is>
          <t>Basico</t>
        </is>
      </c>
      <c r="G24" s="13" t="inlineStr">
        <is>
          <t>Básico</t>
        </is>
      </c>
      <c r="H24" s="30" t="n">
        <v>45778</v>
      </c>
      <c r="I24" s="104" t="n"/>
      <c r="J24" s="105" t="n">
        <v>23489775.0115119</v>
      </c>
      <c r="K24" s="105" t="n">
        <v>23489775.0115119</v>
      </c>
      <c r="L24" s="13" t="inlineStr">
        <is>
          <t>Validado</t>
        </is>
      </c>
      <c r="M24" s="18" t="inlineStr">
        <is>
          <t>FC A</t>
        </is>
      </c>
      <c r="N24" s="31" t="n">
        <v>2488</v>
      </c>
      <c r="O24" s="106" t="n">
        <v>45848</v>
      </c>
      <c r="P24" s="18" t="inlineStr">
        <is>
          <t>Certificado Nº 1 - May'25.. - Laguna 4 - Puerto Nizuc (00175)</t>
        </is>
      </c>
      <c r="Q24" s="18" t="inlineStr">
        <is>
          <t>NO</t>
        </is>
      </c>
      <c r="R24" s="18" t="inlineStr">
        <is>
          <t>N/A</t>
        </is>
      </c>
      <c r="S24" s="105">
        <f>+J24</f>
        <v/>
      </c>
      <c r="T24" s="105" t="n"/>
      <c r="U24" s="105">
        <f>+S24*21%</f>
        <v/>
      </c>
      <c r="V24" s="105">
        <f>+S24*3%</f>
        <v/>
      </c>
      <c r="W24" s="105">
        <f>+S24*0.3%</f>
        <v/>
      </c>
      <c r="X24" s="105">
        <f>IF(A24="00-175",S24*0.06,0)</f>
        <v/>
      </c>
      <c r="Y24" s="105" t="n"/>
      <c r="Z24" s="105" t="n"/>
      <c r="AA24" s="105">
        <f>+S24+T24+U24+W24+X24+V24+Y24</f>
        <v/>
      </c>
      <c r="AB24" s="111" t="n">
        <v>45861</v>
      </c>
      <c r="AC24" s="105" t="n">
        <v>30607176.84</v>
      </c>
      <c r="AD24" s="106" t="n"/>
      <c r="AE24" s="105" t="n"/>
      <c r="AF24" s="22" t="n"/>
      <c r="AG24" s="105" t="n"/>
      <c r="AH24" s="105" t="n"/>
      <c r="AI24" s="105">
        <f>+AC24+AE24+AG24+AH24</f>
        <v/>
      </c>
      <c r="AJ24" s="105">
        <f>+AA24-AI24</f>
        <v/>
      </c>
      <c r="AK24" s="21">
        <f>IF(Q24="ANULADA","N/A",IF(ABS(AJ24)&gt;10,"Pendiente",IF(MAX(AB24,AD24,AF24)=0,"Pendiente",MAX(0,MAX(AB24,AD24,AF24)-O24))))</f>
        <v/>
      </c>
    </row>
    <row r="25" hidden="1" ht="15" customHeight="1">
      <c r="A25" s="18" t="inlineStr">
        <is>
          <t>00-175</t>
        </is>
      </c>
      <c r="B25" s="18" t="inlineStr">
        <is>
          <t>NUEVA MARINAS DE HUDSON INVERSORA SA</t>
        </is>
      </c>
      <c r="C25" s="18" t="inlineStr">
        <is>
          <t>Laguna 4 - Puerto Nizuc</t>
        </is>
      </c>
      <c r="D25" s="13" t="inlineStr">
        <is>
          <t>Laguna 4</t>
        </is>
      </c>
      <c r="E25" s="13" t="n">
        <v>1</v>
      </c>
      <c r="F25" s="13" t="inlineStr">
        <is>
          <t>Basico</t>
        </is>
      </c>
      <c r="G25" s="13" t="inlineStr">
        <is>
          <t>Básico</t>
        </is>
      </c>
      <c r="H25" s="30" t="n">
        <v>45778</v>
      </c>
      <c r="I25" s="104" t="n"/>
      <c r="J25" s="105" t="n">
        <v>86901860.8135073</v>
      </c>
      <c r="K25" s="105" t="n">
        <v>86901860.8135073</v>
      </c>
      <c r="L25" s="13" t="inlineStr">
        <is>
          <t>Validado</t>
        </is>
      </c>
      <c r="M25" s="18" t="inlineStr">
        <is>
          <t>FC A</t>
        </is>
      </c>
      <c r="N25" s="31" t="n">
        <v>2490</v>
      </c>
      <c r="O25" s="106" t="n">
        <v>45882</v>
      </c>
      <c r="P25" s="18" t="inlineStr">
        <is>
          <t>Certificado Nº 1 - May'25. - Laguna 4 - Puerto Nizuc (00175)</t>
        </is>
      </c>
      <c r="Q25" s="18" t="inlineStr">
        <is>
          <t>NO</t>
        </is>
      </c>
      <c r="R25" s="18" t="inlineStr">
        <is>
          <t>N/A</t>
        </is>
      </c>
      <c r="S25" s="105">
        <f>+J25</f>
        <v/>
      </c>
      <c r="T25" s="105" t="n"/>
      <c r="U25" s="105">
        <f>+S25*21%</f>
        <v/>
      </c>
      <c r="V25" s="105">
        <f>+S25*3%</f>
        <v/>
      </c>
      <c r="W25" s="105">
        <f>+S25*0.3%</f>
        <v/>
      </c>
      <c r="X25" s="105">
        <f>IF(A25="00-175",S25*0.06,0)</f>
        <v/>
      </c>
      <c r="Y25" s="105" t="n"/>
      <c r="Z25" s="105" t="n"/>
      <c r="AA25" s="105">
        <f>+S25+T25+U25+W25+X25+V25+Y25</f>
        <v/>
      </c>
      <c r="AB25" s="111" t="n">
        <v>45909</v>
      </c>
      <c r="AC25" s="105" t="n">
        <v>113233124.64</v>
      </c>
      <c r="AD25" s="106" t="n"/>
      <c r="AE25" s="105" t="n"/>
      <c r="AF25" s="22" t="n"/>
      <c r="AG25" s="105" t="n"/>
      <c r="AH25" s="105" t="n"/>
      <c r="AI25" s="105">
        <f>+AC25+AE25+AG25+AH25</f>
        <v/>
      </c>
      <c r="AJ25" s="105">
        <f>+AA25-AI25</f>
        <v/>
      </c>
      <c r="AK25" s="21">
        <f>IF(Q25="ANULADA","N/A",IF(ABS(AJ25)&gt;10,"Pendiente",IF(MAX(AB25,AD25,AF25)=0,"Pendiente",MAX(0,MAX(AB25,AD25,AF25)-O25))))</f>
        <v/>
      </c>
    </row>
    <row r="26" hidden="1" ht="15" customHeight="1">
      <c r="A26" s="18" t="inlineStr">
        <is>
          <t>00-175</t>
        </is>
      </c>
      <c r="B26" s="18" t="inlineStr">
        <is>
          <t>NUEVA MARINAS DE HUDSON INVERSORA SA</t>
        </is>
      </c>
      <c r="C26" s="18" t="inlineStr">
        <is>
          <t>Laguna 4 - Puerto Nizuc</t>
        </is>
      </c>
      <c r="D26" s="13" t="inlineStr">
        <is>
          <t>Laguna 4</t>
        </is>
      </c>
      <c r="E26" s="13" t="n">
        <v>1</v>
      </c>
      <c r="F26" s="13" t="inlineStr">
        <is>
          <t>Redet</t>
        </is>
      </c>
      <c r="G26" s="13" t="inlineStr">
        <is>
          <t>Redet.</t>
        </is>
      </c>
      <c r="H26" s="30" t="n">
        <v>45778</v>
      </c>
      <c r="I26" s="104" t="n"/>
      <c r="J26" s="105" t="n">
        <v>4206050.06139678</v>
      </c>
      <c r="K26" s="105" t="n">
        <v>4206050.06139678</v>
      </c>
      <c r="L26" s="13" t="inlineStr">
        <is>
          <t>Validado</t>
        </is>
      </c>
      <c r="M26" s="18" t="inlineStr">
        <is>
          <t>FC A</t>
        </is>
      </c>
      <c r="N26" s="31" t="n">
        <v>2491</v>
      </c>
      <c r="O26" s="106" t="n">
        <v>45882</v>
      </c>
      <c r="P26" s="18" t="inlineStr">
        <is>
          <t>Certificado de Redeterminación Provisoria Nº 1 - May'25. - Laguna 4 - Puerto Nizuc (00175)</t>
        </is>
      </c>
      <c r="Q26" s="18" t="inlineStr">
        <is>
          <t>NO</t>
        </is>
      </c>
      <c r="R26" s="18" t="inlineStr">
        <is>
          <t>N/A</t>
        </is>
      </c>
      <c r="S26" s="105">
        <f>+J26</f>
        <v/>
      </c>
      <c r="T26" s="105" t="n"/>
      <c r="U26" s="105">
        <f>+S26*21%</f>
        <v/>
      </c>
      <c r="V26" s="105">
        <f>+S26*3%</f>
        <v/>
      </c>
      <c r="W26" s="105">
        <f>+S26*0.3%</f>
        <v/>
      </c>
      <c r="X26" s="105">
        <f>IF(A26="00-175",S26*0.06,0)</f>
        <v/>
      </c>
      <c r="Y26" s="105" t="n"/>
      <c r="Z26" s="105" t="n"/>
      <c r="AA26" s="105">
        <f>+S26+T26+U26+W26+X26+V26+Y26</f>
        <v/>
      </c>
      <c r="AB26" s="111" t="n">
        <v>45909</v>
      </c>
      <c r="AC26" s="105" t="n">
        <v>5480483.23</v>
      </c>
      <c r="AD26" s="106" t="n"/>
      <c r="AE26" s="105" t="n"/>
      <c r="AF26" s="22" t="n"/>
      <c r="AG26" s="105" t="n"/>
      <c r="AH26" s="105" t="n"/>
      <c r="AI26" s="105">
        <f>+AC26+AE26+AG26+AH26</f>
        <v/>
      </c>
      <c r="AJ26" s="105">
        <f>+AA26-AI26</f>
        <v/>
      </c>
      <c r="AK26" s="21">
        <f>IF(Q26="ANULADA","N/A",IF(ABS(AJ26)&gt;10,"Pendiente",IF(MAX(AB26,AD26,AF26)=0,"Pendiente",MAX(0,MAX(AB26,AD26,AF26)-O26))))</f>
        <v/>
      </c>
    </row>
    <row r="27" hidden="1" ht="15" customHeight="1">
      <c r="A27" s="18" t="inlineStr">
        <is>
          <t>00-175</t>
        </is>
      </c>
      <c r="B27" s="18" t="inlineStr">
        <is>
          <t>NUEVA MARINAS DE HUDSON INVERSORA SA</t>
        </is>
      </c>
      <c r="C27" s="18" t="inlineStr">
        <is>
          <t>Laguna 4 - Puerto Nizuc</t>
        </is>
      </c>
      <c r="D27" s="13" t="inlineStr">
        <is>
          <t>Laguna 4</t>
        </is>
      </c>
      <c r="E27" s="13" t="n">
        <v>2</v>
      </c>
      <c r="F27" s="13" t="inlineStr">
        <is>
          <t>Basico</t>
        </is>
      </c>
      <c r="G27" s="13" t="inlineStr">
        <is>
          <t>Básico</t>
        </is>
      </c>
      <c r="H27" s="30" t="n">
        <v>45809</v>
      </c>
      <c r="I27" s="104" t="n"/>
      <c r="J27" s="105" t="n">
        <v>85346702.11051419</v>
      </c>
      <c r="K27" s="105" t="n">
        <v>85346702.11051419</v>
      </c>
      <c r="L27" s="13" t="inlineStr">
        <is>
          <t>Validado</t>
        </is>
      </c>
      <c r="M27" s="18" t="inlineStr">
        <is>
          <t>FC A</t>
        </is>
      </c>
      <c r="N27" s="31" t="n">
        <v>2494</v>
      </c>
      <c r="O27" s="106" t="n">
        <v>45896</v>
      </c>
      <c r="P27" s="18" t="inlineStr">
        <is>
          <t>Certificado Nº 2 - Jun'25.. - Laguna 4 - Puerto Nizuc (00175)</t>
        </is>
      </c>
      <c r="Q27" s="18" t="inlineStr">
        <is>
          <t>NO</t>
        </is>
      </c>
      <c r="R27" s="18" t="inlineStr">
        <is>
          <t>N/A</t>
        </is>
      </c>
      <c r="S27" s="105">
        <f>+J27</f>
        <v/>
      </c>
      <c r="T27" s="105" t="n"/>
      <c r="U27" s="105">
        <f>+S27*21%</f>
        <v/>
      </c>
      <c r="V27" s="105">
        <f>+S27*3%</f>
        <v/>
      </c>
      <c r="W27" s="105">
        <f>+S27*0.3%</f>
        <v/>
      </c>
      <c r="X27" s="105">
        <f>IF(A27="00-175",S27*0.06,0)</f>
        <v/>
      </c>
      <c r="Y27" s="105" t="n"/>
      <c r="Z27" s="105" t="n"/>
      <c r="AA27" s="105">
        <f>+S27+T27+U27+W27+X27+V27+Y27</f>
        <v/>
      </c>
      <c r="AB27" s="111" t="n">
        <v>45909</v>
      </c>
      <c r="AC27" s="105" t="n">
        <v>111206752.85</v>
      </c>
      <c r="AD27" s="106" t="n"/>
      <c r="AE27" s="105" t="n"/>
      <c r="AF27" s="22" t="n"/>
      <c r="AG27" s="105" t="n"/>
      <c r="AH27" s="105" t="n"/>
      <c r="AI27" s="105">
        <f>+AC27+AE27+AG27+AH27</f>
        <v/>
      </c>
      <c r="AJ27" s="105">
        <f>+AA27-AI27</f>
        <v/>
      </c>
      <c r="AK27" s="21">
        <f>IF(Q27="ANULADA","N/A",IF(ABS(AJ27)&gt;10,"Pendiente",IF(MAX(AB27,AD27,AF27)=0,"Pendiente",MAX(0,MAX(AB27,AD27,AF27)-O27))))</f>
        <v/>
      </c>
    </row>
    <row r="28" hidden="1" ht="15" customHeight="1">
      <c r="A28" s="18" t="inlineStr">
        <is>
          <t>00-175</t>
        </is>
      </c>
      <c r="B28" s="18" t="inlineStr">
        <is>
          <t>NUEVA MARINAS DE HUDSON INVERSORA SA</t>
        </is>
      </c>
      <c r="C28" s="18" t="inlineStr">
        <is>
          <t>Laguna 4 - Puerto Nizuc</t>
        </is>
      </c>
      <c r="D28" s="13" t="inlineStr">
        <is>
          <t>Laguna 4</t>
        </is>
      </c>
      <c r="E28" s="13" t="n">
        <v>2</v>
      </c>
      <c r="F28" s="13" t="inlineStr">
        <is>
          <t>Redet</t>
        </is>
      </c>
      <c r="G28" s="13" t="inlineStr">
        <is>
          <t>Redet.</t>
        </is>
      </c>
      <c r="H28" s="30" t="n">
        <v>45809</v>
      </c>
      <c r="I28" s="104" t="n"/>
      <c r="J28" s="105" t="n">
        <v>7110680.49884881</v>
      </c>
      <c r="K28" s="105" t="n">
        <v>7110680.49884881</v>
      </c>
      <c r="L28" s="13" t="inlineStr">
        <is>
          <t>Validado</t>
        </is>
      </c>
      <c r="M28" s="18" t="inlineStr">
        <is>
          <t>FC A</t>
        </is>
      </c>
      <c r="N28" s="31" t="n">
        <v>2495</v>
      </c>
      <c r="O28" s="106" t="n">
        <v>45896</v>
      </c>
      <c r="P28" s="18" t="inlineStr">
        <is>
          <t>Certificado de Redeterminación Provisoria Nº 2 - Jun'25. - Laguna 4 - Puerto Nizuc (00175)</t>
        </is>
      </c>
      <c r="Q28" s="18" t="inlineStr">
        <is>
          <t>NO</t>
        </is>
      </c>
      <c r="R28" s="18" t="inlineStr">
        <is>
          <t>N/A</t>
        </is>
      </c>
      <c r="S28" s="105">
        <f>+J28</f>
        <v/>
      </c>
      <c r="T28" s="105" t="n"/>
      <c r="U28" s="105">
        <f>+S28*21%</f>
        <v/>
      </c>
      <c r="V28" s="105">
        <f>+S28*3%</f>
        <v/>
      </c>
      <c r="W28" s="105">
        <f>+S28*0.3%</f>
        <v/>
      </c>
      <c r="X28" s="105">
        <f>IF(A28="00-175",S28*0.06,0)</f>
        <v/>
      </c>
      <c r="Y28" s="105" t="n"/>
      <c r="Z28" s="105" t="n"/>
      <c r="AA28" s="105">
        <f>+S28+T28+U28+W28+X28+V28+Y28</f>
        <v/>
      </c>
      <c r="AB28" s="111" t="n">
        <v>45926</v>
      </c>
      <c r="AC28" s="105" t="n">
        <v>9265216.689999999</v>
      </c>
      <c r="AD28" s="106" t="n"/>
      <c r="AE28" s="105" t="n"/>
      <c r="AF28" s="22" t="n"/>
      <c r="AG28" s="105" t="n"/>
      <c r="AH28" s="105" t="n"/>
      <c r="AI28" s="105">
        <f>+AC28+AE28+AG28+AH28</f>
        <v/>
      </c>
      <c r="AJ28" s="105">
        <f>+AA28-AI28</f>
        <v/>
      </c>
      <c r="AK28" s="21">
        <f>IF(Q28="ANULADA","N/A",IF(ABS(AJ28)&gt;10,"Pendiente",IF(MAX(AB28,AD28,AF28)=0,"Pendiente",MAX(0,MAX(AB28,AD28,AF28)-O28))))</f>
        <v/>
      </c>
    </row>
    <row r="29" hidden="1" ht="15" customHeight="1">
      <c r="A29" s="18" t="inlineStr">
        <is>
          <t>00-175</t>
        </is>
      </c>
      <c r="B29" s="18" t="inlineStr">
        <is>
          <t>NUEVA MARINAS DE HUDSON INVERSORA SA</t>
        </is>
      </c>
      <c r="C29" s="18" t="inlineStr">
        <is>
          <t>Laguna 4 - Puerto Nizuc</t>
        </is>
      </c>
      <c r="D29" s="13" t="inlineStr">
        <is>
          <t>Laguna 4</t>
        </is>
      </c>
      <c r="E29" s="13" t="n">
        <v>2</v>
      </c>
      <c r="F29" s="13" t="inlineStr">
        <is>
          <t>Basico</t>
        </is>
      </c>
      <c r="G29" s="13" t="inlineStr">
        <is>
          <t>Básico</t>
        </is>
      </c>
      <c r="H29" s="30" t="n">
        <v>45809</v>
      </c>
      <c r="I29" s="104" t="n"/>
      <c r="J29" s="105" t="n">
        <v>51931235.5103607</v>
      </c>
      <c r="K29" s="105" t="n">
        <v>51931235.5103607</v>
      </c>
      <c r="L29" s="13" t="inlineStr">
        <is>
          <t>Validado</t>
        </is>
      </c>
      <c r="M29" s="18" t="inlineStr">
        <is>
          <t>FC A</t>
        </is>
      </c>
      <c r="N29" s="31" t="n">
        <v>2499</v>
      </c>
      <c r="O29" s="106" t="n">
        <v>45897</v>
      </c>
      <c r="P29" s="18" t="inlineStr">
        <is>
          <t>Certificado Nº 2 - Jun'25.. - Laguna 4 - Puerto Nizuc (00175)</t>
        </is>
      </c>
      <c r="Q29" s="18" t="inlineStr">
        <is>
          <t>NO</t>
        </is>
      </c>
      <c r="R29" s="18" t="inlineStr">
        <is>
          <t>N/A</t>
        </is>
      </c>
      <c r="S29" s="105">
        <f>+J29</f>
        <v/>
      </c>
      <c r="T29" s="105" t="n"/>
      <c r="U29" s="105">
        <f>+S29*21%</f>
        <v/>
      </c>
      <c r="V29" s="105">
        <f>+S29*3%</f>
        <v/>
      </c>
      <c r="W29" s="105">
        <f>+S29*0.3%</f>
        <v/>
      </c>
      <c r="X29" s="105">
        <f>IF(A29="00-175",S29*0.06,0)</f>
        <v/>
      </c>
      <c r="Y29" s="105" t="n"/>
      <c r="Z29" s="105" t="n"/>
      <c r="AA29" s="105">
        <f>+S29+T29+U29+W29+X29+V29+Y29</f>
        <v/>
      </c>
      <c r="AB29" s="111" t="n">
        <v>45917</v>
      </c>
      <c r="AC29" s="105" t="n">
        <v>67666399.87</v>
      </c>
      <c r="AD29" s="106" t="n"/>
      <c r="AE29" s="105" t="n"/>
      <c r="AF29" s="22" t="n"/>
      <c r="AG29" s="105" t="n"/>
      <c r="AH29" s="105" t="n"/>
      <c r="AI29" s="105">
        <f>+AC29+AE29+AG29+AH29</f>
        <v/>
      </c>
      <c r="AJ29" s="105">
        <f>+AA29-AI29</f>
        <v/>
      </c>
      <c r="AK29" s="21">
        <f>IF(Q29="ANULADA","N/A",IF(ABS(AJ29)&gt;10,"Pendiente",IF(MAX(AB29,AD29,AF29)=0,"Pendiente",MAX(0,MAX(AB29,AD29,AF29)-O29))))</f>
        <v/>
      </c>
    </row>
    <row r="30" hidden="1" ht="15" customHeight="1">
      <c r="A30" s="18" t="inlineStr">
        <is>
          <t>00-175</t>
        </is>
      </c>
      <c r="B30" s="18" t="inlineStr">
        <is>
          <t>NUEVA MARINAS DE HUDSON INVERSORA SA</t>
        </is>
      </c>
      <c r="C30" s="18" t="inlineStr">
        <is>
          <t>Laguna 4 - Puerto Nizuc</t>
        </is>
      </c>
      <c r="D30" s="13" t="inlineStr">
        <is>
          <t>Laguna 4</t>
        </is>
      </c>
      <c r="E30" s="13" t="n">
        <v>2</v>
      </c>
      <c r="F30" s="13" t="inlineStr">
        <is>
          <t>Redet</t>
        </is>
      </c>
      <c r="G30" s="13" t="inlineStr">
        <is>
          <t>Redet.</t>
        </is>
      </c>
      <c r="H30" s="30" t="n">
        <v>45809</v>
      </c>
      <c r="I30" s="104" t="n"/>
      <c r="J30" s="105" t="n">
        <v>1244446.68457406</v>
      </c>
      <c r="K30" s="105" t="n">
        <v>1244446.68457406</v>
      </c>
      <c r="L30" s="13" t="inlineStr">
        <is>
          <t>Validado</t>
        </is>
      </c>
      <c r="M30" s="18" t="inlineStr">
        <is>
          <t>FC A</t>
        </is>
      </c>
      <c r="N30" s="31" t="n">
        <v>2500</v>
      </c>
      <c r="O30" s="106" t="n">
        <v>45897</v>
      </c>
      <c r="P30" s="18" t="inlineStr">
        <is>
          <t>Certificado de Redeterminación Provisoria Nº 2 - Jun'25. - Laguna 4 - Puerto Nizuc (00175)</t>
        </is>
      </c>
      <c r="Q30" s="18" t="inlineStr">
        <is>
          <t>NO</t>
        </is>
      </c>
      <c r="R30" s="18" t="inlineStr">
        <is>
          <t>N/A</t>
        </is>
      </c>
      <c r="S30" s="105">
        <f>+J30</f>
        <v/>
      </c>
      <c r="T30" s="105" t="n"/>
      <c r="U30" s="105">
        <f>+S30*21%</f>
        <v/>
      </c>
      <c r="V30" s="105">
        <f>+S30*3%</f>
        <v/>
      </c>
      <c r="W30" s="105">
        <f>+S30*0.3%</f>
        <v/>
      </c>
      <c r="X30" s="105">
        <f>IF(A30="00-175",S30*0.06,0)</f>
        <v/>
      </c>
      <c r="Y30" s="105" t="n"/>
      <c r="Z30" s="105" t="n"/>
      <c r="AA30" s="105">
        <f>+S30+T30+U30+W30+X30+V30+Y30</f>
        <v/>
      </c>
      <c r="AB30" s="111" t="n">
        <v>45917</v>
      </c>
      <c r="AC30" s="105" t="n">
        <v>1621514.03</v>
      </c>
      <c r="AD30" s="106" t="n"/>
      <c r="AE30" s="105" t="n"/>
      <c r="AF30" s="22" t="n"/>
      <c r="AG30" s="105" t="n"/>
      <c r="AH30" s="105" t="n"/>
      <c r="AI30" s="105">
        <f>+AC30+AE30+AG30+AH30</f>
        <v/>
      </c>
      <c r="AJ30" s="105">
        <f>+AA30-AI30</f>
        <v/>
      </c>
      <c r="AK30" s="21">
        <f>IF(Q30="ANULADA","N/A",IF(ABS(AJ30)&gt;10,"Pendiente",IF(MAX(AB30,AD30,AF30)=0,"Pendiente",MAX(0,MAX(AB30,AD30,AF30)-O30))))</f>
        <v/>
      </c>
    </row>
    <row r="31" hidden="1" ht="15" customHeight="1">
      <c r="A31" s="18" t="inlineStr">
        <is>
          <t>00-175</t>
        </is>
      </c>
      <c r="B31" s="18" t="inlineStr">
        <is>
          <t>NUEVA MARINAS DE HUDSON INVERSORA SA</t>
        </is>
      </c>
      <c r="C31" s="18" t="inlineStr">
        <is>
          <t>Laguna 4 - Puerto Nizuc</t>
        </is>
      </c>
      <c r="D31" s="13" t="inlineStr">
        <is>
          <t>Laguna 4</t>
        </is>
      </c>
      <c r="E31" s="13" t="n">
        <v>3</v>
      </c>
      <c r="F31" s="13" t="inlineStr">
        <is>
          <t>Basico</t>
        </is>
      </c>
      <c r="G31" s="13" t="inlineStr">
        <is>
          <t>Básico</t>
        </is>
      </c>
      <c r="H31" s="30" t="n">
        <v>45839</v>
      </c>
      <c r="I31" s="104" t="n"/>
      <c r="J31" s="105" t="n">
        <v>130220964.566385</v>
      </c>
      <c r="K31" s="105" t="n">
        <v>130220964.566385</v>
      </c>
      <c r="L31" s="13" t="inlineStr">
        <is>
          <t>Validado</t>
        </is>
      </c>
      <c r="M31" s="18" t="inlineStr">
        <is>
          <t>FC A</t>
        </is>
      </c>
      <c r="N31" s="31" t="n">
        <v>2504</v>
      </c>
      <c r="O31" s="106" t="n">
        <v>45903</v>
      </c>
      <c r="P31" s="18" t="inlineStr">
        <is>
          <t>Certificado Nº 3 - Jul'25.. - Laguna 4 - Puerto Nizuc (00175)</t>
        </is>
      </c>
      <c r="Q31" s="18" t="inlineStr">
        <is>
          <t>NO</t>
        </is>
      </c>
      <c r="R31" s="18" t="inlineStr">
        <is>
          <t>N/A</t>
        </is>
      </c>
      <c r="S31" s="105">
        <f>+J31</f>
        <v/>
      </c>
      <c r="T31" s="105" t="n"/>
      <c r="U31" s="105">
        <f>+S31*21%</f>
        <v/>
      </c>
      <c r="V31" s="105">
        <f>+S31*3%</f>
        <v/>
      </c>
      <c r="W31" s="105">
        <f>+S31*0.3%</f>
        <v/>
      </c>
      <c r="X31" s="105">
        <f>IF(A31="00-175",S31*0.06,0)</f>
        <v/>
      </c>
      <c r="Y31" s="105" t="n"/>
      <c r="Z31" s="105" t="n"/>
      <c r="AA31" s="105">
        <f>+S31+T31+U31+W31+X31+V31+Y31</f>
        <v/>
      </c>
      <c r="AB31" s="111" t="n">
        <v>45926</v>
      </c>
      <c r="AC31" s="105" t="n">
        <v>169677916.83</v>
      </c>
      <c r="AD31" s="106" t="n"/>
      <c r="AE31" s="105" t="n"/>
      <c r="AF31" s="22" t="n"/>
      <c r="AG31" s="105" t="n"/>
      <c r="AH31" s="105" t="n"/>
      <c r="AI31" s="105">
        <f>+AC31+AE31+AG31+AH31</f>
        <v/>
      </c>
      <c r="AJ31" s="105">
        <f>+AA31-AI31</f>
        <v/>
      </c>
      <c r="AK31" s="21">
        <f>IF(Q31="ANULADA","N/A",IF(ABS(AJ31)&gt;10,"Pendiente",IF(MAX(AB31,AD31,AF31)=0,"Pendiente",MAX(0,MAX(AB31,AD31,AF31)-O31))))</f>
        <v/>
      </c>
    </row>
    <row r="32" hidden="1" ht="15" customHeight="1">
      <c r="A32" s="18" t="inlineStr">
        <is>
          <t>00-175</t>
        </is>
      </c>
      <c r="B32" s="18" t="inlineStr">
        <is>
          <t>NUEVA MARINAS DE HUDSON INVERSORA SA</t>
        </is>
      </c>
      <c r="C32" s="18" t="inlineStr">
        <is>
          <t>Laguna 4 - Puerto Nizuc</t>
        </is>
      </c>
      <c r="D32" s="13" t="inlineStr">
        <is>
          <t>Laguna 4</t>
        </is>
      </c>
      <c r="E32" s="13" t="n">
        <v>3</v>
      </c>
      <c r="F32" s="13" t="inlineStr">
        <is>
          <t>Redet</t>
        </is>
      </c>
      <c r="G32" s="13" t="inlineStr">
        <is>
          <t>Redet.</t>
        </is>
      </c>
      <c r="H32" s="30" t="n">
        <v>45839</v>
      </c>
      <c r="I32" s="104" t="n"/>
      <c r="J32" s="105" t="n">
        <v>10236945.1650038</v>
      </c>
      <c r="K32" s="105" t="n">
        <v>10236945.1650038</v>
      </c>
      <c r="L32" s="13" t="inlineStr">
        <is>
          <t>Validado</t>
        </is>
      </c>
      <c r="M32" s="18" t="inlineStr">
        <is>
          <t>FC A</t>
        </is>
      </c>
      <c r="N32" s="31" t="n">
        <v>2505</v>
      </c>
      <c r="O32" s="106" t="n">
        <v>45903</v>
      </c>
      <c r="P32" s="18" t="inlineStr">
        <is>
          <t>Certificado de Redeterminación Provisoria Nº 3 - Jul'25. - Laguna 4 - Puerto Nizuc (00175)</t>
        </is>
      </c>
      <c r="Q32" s="18" t="inlineStr">
        <is>
          <t>NO</t>
        </is>
      </c>
      <c r="R32" s="18" t="inlineStr">
        <is>
          <t>N/A</t>
        </is>
      </c>
      <c r="S32" s="105">
        <f>+J32</f>
        <v/>
      </c>
      <c r="T32" s="105" t="n"/>
      <c r="U32" s="105">
        <f>+S32*21%</f>
        <v/>
      </c>
      <c r="V32" s="105">
        <f>+S32*3%</f>
        <v/>
      </c>
      <c r="W32" s="105">
        <f>+S32*0.3%</f>
        <v/>
      </c>
      <c r="X32" s="105">
        <f>IF(A32="00-175",S32*0.06,0)</f>
        <v/>
      </c>
      <c r="Y32" s="105" t="n"/>
      <c r="Z32" s="105" t="n"/>
      <c r="AA32" s="105">
        <f>+S32+T32+U32+W32+X32+V32+Y32</f>
        <v/>
      </c>
      <c r="AB32" s="111" t="n">
        <v>45926</v>
      </c>
      <c r="AC32" s="105" t="n">
        <v>13338739.55</v>
      </c>
      <c r="AD32" s="106" t="n"/>
      <c r="AE32" s="105" t="n"/>
      <c r="AF32" s="22" t="n"/>
      <c r="AG32" s="105" t="n"/>
      <c r="AH32" s="105" t="n"/>
      <c r="AI32" s="105">
        <f>+AC32+AE32+AG32+AH32</f>
        <v/>
      </c>
      <c r="AJ32" s="105">
        <f>+AA32-AI32</f>
        <v/>
      </c>
      <c r="AK32" s="21">
        <f>IF(Q32="ANULADA","N/A",IF(ABS(AJ32)&gt;10,"Pendiente",IF(MAX(AB32,AD32,AF32)=0,"Pendiente",MAX(0,MAX(AB32,AD32,AF32)-O32))))</f>
        <v/>
      </c>
    </row>
    <row r="33" hidden="1" ht="15" customHeight="1">
      <c r="A33" s="18" t="inlineStr">
        <is>
          <t>00-175</t>
        </is>
      </c>
      <c r="B33" s="18" t="inlineStr">
        <is>
          <t>NUEVA MARINAS DE HUDSON INVERSORA SA</t>
        </is>
      </c>
      <c r="C33" s="18" t="inlineStr">
        <is>
          <t>Laguna 4 - Puerto Nizuc</t>
        </is>
      </c>
      <c r="D33" s="13" t="inlineStr">
        <is>
          <t>Laguna 4</t>
        </is>
      </c>
      <c r="E33" s="13" t="n">
        <v>3</v>
      </c>
      <c r="F33" s="13" t="inlineStr">
        <is>
          <t>Basico</t>
        </is>
      </c>
      <c r="G33" s="13" t="inlineStr">
        <is>
          <t>Básico</t>
        </is>
      </c>
      <c r="H33" s="30" t="n">
        <v>45839</v>
      </c>
      <c r="I33" s="104" t="n"/>
      <c r="J33" s="105" t="n">
        <v>11131246.0782809</v>
      </c>
      <c r="K33" s="105" t="n">
        <v>11131246.0782809</v>
      </c>
      <c r="L33" s="13" t="inlineStr">
        <is>
          <t>Validado</t>
        </is>
      </c>
      <c r="M33" s="18" t="inlineStr">
        <is>
          <t>FC A</t>
        </is>
      </c>
      <c r="N33" s="31" t="n">
        <v>2506</v>
      </c>
      <c r="O33" s="106" t="n">
        <v>45903</v>
      </c>
      <c r="P33" s="18" t="inlineStr">
        <is>
          <t>Certificado Nº 3 - Jul'25.. - Laguna 4 - Puerto Nizuc (00175)</t>
        </is>
      </c>
      <c r="Q33" s="18" t="inlineStr">
        <is>
          <t>NO</t>
        </is>
      </c>
      <c r="R33" s="18" t="inlineStr">
        <is>
          <t>N/A</t>
        </is>
      </c>
      <c r="S33" s="105">
        <f>+J33</f>
        <v/>
      </c>
      <c r="T33" s="105" t="n"/>
      <c r="U33" s="105">
        <f>+S33*21%</f>
        <v/>
      </c>
      <c r="V33" s="105">
        <f>+S33*3%</f>
        <v/>
      </c>
      <c r="W33" s="105">
        <f>+S33*0.3%</f>
        <v/>
      </c>
      <c r="X33" s="105">
        <f>IF(A33="00-175",S33*0.06,0)</f>
        <v/>
      </c>
      <c r="Y33" s="105" t="n"/>
      <c r="Z33" s="105" t="n"/>
      <c r="AA33" s="105">
        <f>+S33+T33+U33+W33+X33+V33+Y33</f>
        <v/>
      </c>
      <c r="AB33" s="111" t="n">
        <v>45917</v>
      </c>
      <c r="AC33" s="105" t="n">
        <v>14504013.64</v>
      </c>
      <c r="AD33" s="106" t="n"/>
      <c r="AE33" s="105" t="n"/>
      <c r="AF33" s="22" t="n"/>
      <c r="AG33" s="105" t="n"/>
      <c r="AH33" s="105" t="n"/>
      <c r="AI33" s="105">
        <f>+AC33+AE33+AG33+AH33</f>
        <v/>
      </c>
      <c r="AJ33" s="105">
        <f>+AA33-AI33</f>
        <v/>
      </c>
      <c r="AK33" s="21">
        <f>IF(Q33="ANULADA","N/A",IF(ABS(AJ33)&gt;10,"Pendiente",IF(MAX(AB33,AD33,AF33)=0,"Pendiente",MAX(0,MAX(AB33,AD33,AF33)-O33))))</f>
        <v/>
      </c>
    </row>
    <row r="34" hidden="1" ht="15" customHeight="1">
      <c r="A34" s="18" t="inlineStr">
        <is>
          <t>00-175</t>
        </is>
      </c>
      <c r="B34" s="18" t="inlineStr">
        <is>
          <t>NUEVA MARINAS DE HUDSON INVERSORA SA</t>
        </is>
      </c>
      <c r="C34" s="18" t="inlineStr">
        <is>
          <t>Laguna 4 - Puerto Nizuc</t>
        </is>
      </c>
      <c r="D34" s="13" t="inlineStr">
        <is>
          <t>Laguna 4</t>
        </is>
      </c>
      <c r="E34" s="13" t="n">
        <v>3</v>
      </c>
      <c r="F34" s="13" t="inlineStr">
        <is>
          <t>Redet</t>
        </is>
      </c>
      <c r="G34" s="13" t="inlineStr">
        <is>
          <t>Redet.</t>
        </is>
      </c>
      <c r="H34" s="30" t="n">
        <v>45839</v>
      </c>
      <c r="I34" s="104" t="n"/>
      <c r="J34" s="105" t="n">
        <v>656634.15963162</v>
      </c>
      <c r="K34" s="105" t="n">
        <v>656634.15963162</v>
      </c>
      <c r="L34" s="13" t="inlineStr">
        <is>
          <t>Validado</t>
        </is>
      </c>
      <c r="M34" s="18" t="inlineStr">
        <is>
          <t>FC A</t>
        </is>
      </c>
      <c r="N34" s="31" t="n">
        <v>2507</v>
      </c>
      <c r="O34" s="106" t="n">
        <v>45903</v>
      </c>
      <c r="P34" s="18" t="inlineStr">
        <is>
          <t>Certificado de Redeterminación Provisoria Nº 3 - Jul'25. - Laguna 4 - Puerto Nizuc (00175)</t>
        </is>
      </c>
      <c r="Q34" s="18" t="inlineStr">
        <is>
          <t>NO</t>
        </is>
      </c>
      <c r="R34" s="18" t="inlineStr">
        <is>
          <t>N/A</t>
        </is>
      </c>
      <c r="S34" s="105">
        <f>+J34</f>
        <v/>
      </c>
      <c r="T34" s="105" t="n"/>
      <c r="U34" s="105">
        <f>+S34*21%</f>
        <v/>
      </c>
      <c r="V34" s="105">
        <f>+S34*3%</f>
        <v/>
      </c>
      <c r="W34" s="105">
        <f>+S34*0.3%</f>
        <v/>
      </c>
      <c r="X34" s="105">
        <f>IF(A34="00-175",S34*0.06,0)</f>
        <v/>
      </c>
      <c r="Y34" s="105" t="n"/>
      <c r="Z34" s="105" t="n"/>
      <c r="AA34" s="105">
        <f>+S34+T34+U34+W34+X34+V34+Y34</f>
        <v/>
      </c>
      <c r="AB34" s="111" t="n">
        <v>45917</v>
      </c>
      <c r="AC34" s="105" t="n">
        <v>855594.3100000001</v>
      </c>
      <c r="AD34" s="106" t="n"/>
      <c r="AE34" s="105" t="n"/>
      <c r="AF34" s="22" t="n"/>
      <c r="AG34" s="105" t="n"/>
      <c r="AH34" s="105" t="n"/>
      <c r="AI34" s="105">
        <f>+AC34+AE34+AG34+AH34</f>
        <v/>
      </c>
      <c r="AJ34" s="105">
        <f>+AA34-AI34</f>
        <v/>
      </c>
      <c r="AK34" s="21">
        <f>IF(Q34="ANULADA","N/A",IF(ABS(AJ34)&gt;10,"Pendiente",IF(MAX(AB34,AD34,AF34)=0,"Pendiente",MAX(0,MAX(AB34,AD34,AF34)-O34))))</f>
        <v/>
      </c>
    </row>
    <row r="35" hidden="1" ht="15" customHeight="1">
      <c r="A35" s="18" t="inlineStr">
        <is>
          <t>00-175</t>
        </is>
      </c>
      <c r="B35" s="18" t="inlineStr">
        <is>
          <t>NUEVA MARINAS DE HUDSON INVERSORA SA</t>
        </is>
      </c>
      <c r="C35" s="18" t="inlineStr">
        <is>
          <t>Laguna 4 - Puerto Nizuc</t>
        </is>
      </c>
      <c r="D35" s="13" t="inlineStr">
        <is>
          <t>Laguna 4</t>
        </is>
      </c>
      <c r="E35" s="13" t="n">
        <v>4</v>
      </c>
      <c r="F35" s="13" t="inlineStr">
        <is>
          <t>Basico</t>
        </is>
      </c>
      <c r="G35" s="13" t="inlineStr">
        <is>
          <t>Básico</t>
        </is>
      </c>
      <c r="H35" s="30" t="n">
        <v>45870</v>
      </c>
      <c r="I35" s="104" t="n"/>
      <c r="J35" s="105" t="n">
        <v>131512632.156562</v>
      </c>
      <c r="K35" s="105" t="n">
        <v>131512632.156562</v>
      </c>
      <c r="L35" s="13" t="inlineStr">
        <is>
          <t>Validado</t>
        </is>
      </c>
      <c r="M35" s="18" t="inlineStr">
        <is>
          <t>FC A</t>
        </is>
      </c>
      <c r="N35" s="31" t="n">
        <v>2509</v>
      </c>
      <c r="O35" s="106" t="n">
        <v>45915</v>
      </c>
      <c r="P35" s="18" t="inlineStr">
        <is>
          <t>Certificado Nº 4 - Ago'25. - Laguna 4 - Puerto Nizuc (00175)</t>
        </is>
      </c>
      <c r="Q35" s="18" t="inlineStr">
        <is>
          <t>NO</t>
        </is>
      </c>
      <c r="R35" s="18" t="inlineStr">
        <is>
          <t>N/A</t>
        </is>
      </c>
      <c r="S35" s="105">
        <f>+J35</f>
        <v/>
      </c>
      <c r="T35" s="105" t="n"/>
      <c r="U35" s="105">
        <f>+S35*21%</f>
        <v/>
      </c>
      <c r="V35" s="105">
        <f>+S35*3%</f>
        <v/>
      </c>
      <c r="W35" s="105">
        <f>+S35*0.3%</f>
        <v/>
      </c>
      <c r="X35" s="105">
        <f>IF(A35="00-175",S35*0.06,0)</f>
        <v/>
      </c>
      <c r="Y35" s="105" t="n"/>
      <c r="Z35" s="105" t="n"/>
      <c r="AA35" s="105">
        <f>+S35+T35+U35+W35+X35+V35+Y35</f>
        <v/>
      </c>
      <c r="AB35" s="111" t="n">
        <v>45959</v>
      </c>
      <c r="AC35" s="105" t="n">
        <v>19283382.85</v>
      </c>
      <c r="AD35" s="106" t="n">
        <v>45987</v>
      </c>
      <c r="AE35" s="105" t="n">
        <v>152077576.85</v>
      </c>
      <c r="AF35" s="22" t="n"/>
      <c r="AG35" s="105" t="n"/>
      <c r="AH35" s="105" t="n"/>
      <c r="AI35" s="105">
        <f>+AC35+AE35+AG35+AH35</f>
        <v/>
      </c>
      <c r="AJ35" s="105">
        <f>+AA35-AI35</f>
        <v/>
      </c>
      <c r="AK35" s="21">
        <f>IF(Q35="ANULADA","N/A",IF(ABS(AJ35)&gt;10,"Pendiente",IF(MAX(AB35,AD35,AF35)=0,"Pendiente",MAX(0,MAX(AB35,AD35,AF35)-O35))))</f>
        <v/>
      </c>
    </row>
    <row r="36" hidden="1" ht="15" customHeight="1">
      <c r="A36" s="18" t="inlineStr">
        <is>
          <t>00-175</t>
        </is>
      </c>
      <c r="B36" s="18" t="inlineStr">
        <is>
          <t>NUEVA MARINAS DE HUDSON INVERSORA SA</t>
        </is>
      </c>
      <c r="C36" s="18" t="inlineStr">
        <is>
          <t>Laguna 4 - Puerto Nizuc</t>
        </is>
      </c>
      <c r="D36" s="13" t="inlineStr">
        <is>
          <t>Laguna 4</t>
        </is>
      </c>
      <c r="E36" s="13" t="n">
        <v>4</v>
      </c>
      <c r="F36" s="13" t="inlineStr">
        <is>
          <t>Redet</t>
        </is>
      </c>
      <c r="G36" s="13" t="inlineStr">
        <is>
          <t>Redet.</t>
        </is>
      </c>
      <c r="H36" s="30" t="n">
        <v>45870</v>
      </c>
      <c r="I36" s="104" t="n"/>
      <c r="J36" s="105" t="n">
        <v>14665290.1611665</v>
      </c>
      <c r="K36" s="105" t="n">
        <v>14665290.1611665</v>
      </c>
      <c r="L36" s="13" t="inlineStr">
        <is>
          <t>Validado</t>
        </is>
      </c>
      <c r="M36" s="18" t="inlineStr">
        <is>
          <t>FC A</t>
        </is>
      </c>
      <c r="N36" s="31" t="n">
        <v>2510</v>
      </c>
      <c r="O36" s="106" t="n">
        <v>45915</v>
      </c>
      <c r="P36" s="18" t="inlineStr">
        <is>
          <t>Certificado de Redeterminación Provisoria Nº 4 - Ago'25. - Laguna 4 - Puerto Nizuc (00175)</t>
        </is>
      </c>
      <c r="Q36" s="18" t="inlineStr">
        <is>
          <t>NO</t>
        </is>
      </c>
      <c r="R36" s="18" t="inlineStr">
        <is>
          <t>N/A</t>
        </is>
      </c>
      <c r="S36" s="105">
        <f>+J36</f>
        <v/>
      </c>
      <c r="T36" s="105" t="n"/>
      <c r="U36" s="105">
        <f>+S36*21%</f>
        <v/>
      </c>
      <c r="V36" s="105">
        <f>+S36*3%</f>
        <v/>
      </c>
      <c r="W36" s="105">
        <f>+S36*0.3%</f>
        <v/>
      </c>
      <c r="X36" s="105">
        <f>IF(A36="00-175",S36*0.06,0)</f>
        <v/>
      </c>
      <c r="Y36" s="105" t="n"/>
      <c r="Z36" s="105" t="n"/>
      <c r="AA36" s="105">
        <f>+S36+T36+U36+W36+X36+V36+Y36</f>
        <v/>
      </c>
      <c r="AB36" s="111" t="n">
        <v>45987</v>
      </c>
      <c r="AC36" s="105" t="n">
        <v>19108873.08</v>
      </c>
      <c r="AD36" s="106" t="n"/>
      <c r="AE36" s="105" t="n"/>
      <c r="AF36" s="22" t="n"/>
      <c r="AG36" s="105" t="n"/>
      <c r="AH36" s="105" t="n"/>
      <c r="AI36" s="105">
        <f>+AC36+AE36+AG36+AH36</f>
        <v/>
      </c>
      <c r="AJ36" s="105">
        <f>+AA36-AI36</f>
        <v/>
      </c>
      <c r="AK36" s="21">
        <f>IF(Q36="ANULADA","N/A",IF(ABS(AJ36)&gt;10,"Pendiente",IF(MAX(AB36,AD36,AF36)=0,"Pendiente",MAX(0,MAX(AB36,AD36,AF36)-O36))))</f>
        <v/>
      </c>
    </row>
    <row r="37" hidden="1" ht="15" customHeight="1">
      <c r="A37" s="18" t="inlineStr">
        <is>
          <t>00-175</t>
        </is>
      </c>
      <c r="B37" s="18" t="inlineStr">
        <is>
          <t>NUEVA MARINAS DE HUDSON INVERSORA SA</t>
        </is>
      </c>
      <c r="C37" s="18" t="inlineStr">
        <is>
          <t>Laguna 4 - Puerto Nizuc</t>
        </is>
      </c>
      <c r="D37" s="13" t="inlineStr">
        <is>
          <t>Laguna 4</t>
        </is>
      </c>
      <c r="E37" s="13" t="n">
        <v>4</v>
      </c>
      <c r="F37" s="13" t="inlineStr">
        <is>
          <t>Basico</t>
        </is>
      </c>
      <c r="G37" s="13" t="inlineStr">
        <is>
          <t>Básico</t>
        </is>
      </c>
      <c r="H37" s="30" t="n">
        <v>45870</v>
      </c>
      <c r="I37" s="104" t="n"/>
      <c r="J37" s="105" t="n">
        <v>10560323.4305449</v>
      </c>
      <c r="K37" s="105" t="n">
        <v>10560323.4305449</v>
      </c>
      <c r="L37" s="13" t="inlineStr">
        <is>
          <t>Validado</t>
        </is>
      </c>
      <c r="M37" s="18" t="inlineStr">
        <is>
          <t>FC A</t>
        </is>
      </c>
      <c r="N37" s="31" t="n">
        <v>2511</v>
      </c>
      <c r="O37" s="106" t="n">
        <v>45915</v>
      </c>
      <c r="P37" s="18" t="inlineStr">
        <is>
          <t>Certificado Nº 4 - Ago'25. - Laguna 4 - Puerto Nizuc (00175)</t>
        </is>
      </c>
      <c r="Q37" s="18" t="inlineStr">
        <is>
          <t>NO</t>
        </is>
      </c>
      <c r="R37" s="18" t="inlineStr">
        <is>
          <t>N/A</t>
        </is>
      </c>
      <c r="S37" s="105">
        <f>+J37</f>
        <v/>
      </c>
      <c r="T37" s="105" t="n"/>
      <c r="U37" s="105">
        <f>+S37*21%</f>
        <v/>
      </c>
      <c r="V37" s="105">
        <f>+S37*3%</f>
        <v/>
      </c>
      <c r="W37" s="105">
        <f>+S37*0.3%</f>
        <v/>
      </c>
      <c r="X37" s="105">
        <f>IF(A37="00-175",S37*0.06,0)</f>
        <v/>
      </c>
      <c r="Y37" s="105" t="n"/>
      <c r="Z37" s="105" t="n"/>
      <c r="AA37" s="105">
        <f>+S37+T37+U37+W37+X37+V37+Y37</f>
        <v/>
      </c>
      <c r="AB37" s="111" t="n">
        <v>45939</v>
      </c>
      <c r="AC37" s="105" t="n">
        <v>13760101.43</v>
      </c>
      <c r="AD37" s="106" t="n"/>
      <c r="AE37" s="105" t="n"/>
      <c r="AF37" s="22" t="n"/>
      <c r="AG37" s="105" t="n"/>
      <c r="AH37" s="105" t="n"/>
      <c r="AI37" s="105">
        <f>+AC37+AE37+AG37+AH37</f>
        <v/>
      </c>
      <c r="AJ37" s="105">
        <f>+AA37-AI37</f>
        <v/>
      </c>
      <c r="AK37" s="21">
        <f>IF(Q37="ANULADA","N/A",IF(ABS(AJ37)&gt;10,"Pendiente",IF(MAX(AB37,AD37,AF37)=0,"Pendiente",MAX(0,MAX(AB37,AD37,AF37)-O37))))</f>
        <v/>
      </c>
    </row>
    <row r="38" hidden="1" ht="15" customHeight="1">
      <c r="A38" s="18" t="inlineStr">
        <is>
          <t>00-175</t>
        </is>
      </c>
      <c r="B38" s="18" t="inlineStr">
        <is>
          <t>NUEVA MARINAS DE HUDSON INVERSORA SA</t>
        </is>
      </c>
      <c r="C38" s="18" t="inlineStr">
        <is>
          <t>Laguna 4 - Puerto Nizuc</t>
        </is>
      </c>
      <c r="D38" s="13" t="inlineStr">
        <is>
          <t>Laguna 4</t>
        </is>
      </c>
      <c r="E38" s="13" t="n">
        <v>4</v>
      </c>
      <c r="F38" s="13" t="inlineStr">
        <is>
          <t>Redet</t>
        </is>
      </c>
      <c r="G38" s="13" t="inlineStr">
        <is>
          <t>Redet.</t>
        </is>
      </c>
      <c r="H38" s="30" t="n">
        <v>45870</v>
      </c>
      <c r="I38" s="104" t="n"/>
      <c r="J38" s="105" t="n">
        <v>648234.328472755</v>
      </c>
      <c r="K38" s="105" t="n">
        <v>648234.328472755</v>
      </c>
      <c r="L38" s="13" t="inlineStr">
        <is>
          <t>Validado</t>
        </is>
      </c>
      <c r="M38" s="18" t="inlineStr">
        <is>
          <t>FC A</t>
        </is>
      </c>
      <c r="N38" s="31" t="n">
        <v>2512</v>
      </c>
      <c r="O38" s="106" t="n">
        <v>45915</v>
      </c>
      <c r="P38" s="18" t="inlineStr">
        <is>
          <t>Certificado de Redeterminación Provisoria Nº 4 - Ago'25. - Laguna 4 - Puerto Nizuc (00175)</t>
        </is>
      </c>
      <c r="Q38" s="18" t="inlineStr">
        <is>
          <t>NO</t>
        </is>
      </c>
      <c r="R38" s="18" t="inlineStr">
        <is>
          <t>N/A</t>
        </is>
      </c>
      <c r="S38" s="105">
        <f>+J38</f>
        <v/>
      </c>
      <c r="T38" s="105" t="n"/>
      <c r="U38" s="105">
        <f>+S38*21%</f>
        <v/>
      </c>
      <c r="V38" s="105">
        <f>+S38*3%</f>
        <v/>
      </c>
      <c r="W38" s="105">
        <f>+S38*0.3%</f>
        <v/>
      </c>
      <c r="X38" s="105">
        <f>IF(A38="00-175",S38*0.06,0)</f>
        <v/>
      </c>
      <c r="Y38" s="105" t="n"/>
      <c r="Z38" s="105" t="n"/>
      <c r="AA38" s="105">
        <f>+S38+T38+U38+W38+X38+V38+Y38</f>
        <v/>
      </c>
      <c r="AB38" s="111" t="n">
        <v>45939</v>
      </c>
      <c r="AC38" s="105" t="n">
        <v>844649.33</v>
      </c>
      <c r="AD38" s="106" t="n"/>
      <c r="AE38" s="105" t="n"/>
      <c r="AF38" s="22" t="n"/>
      <c r="AG38" s="105" t="n"/>
      <c r="AH38" s="105" t="n"/>
      <c r="AI38" s="105">
        <f>+AC38+AE38+AG38+AH38</f>
        <v/>
      </c>
      <c r="AJ38" s="105">
        <f>+AA38-AI38</f>
        <v/>
      </c>
      <c r="AK38" s="21">
        <f>IF(Q38="ANULADA","N/A",IF(ABS(AJ38)&gt;10,"Pendiente",IF(MAX(AB38,AD38,AF38)=0,"Pendiente",MAX(0,MAX(AB38,AD38,AF38)-O38))))</f>
        <v/>
      </c>
    </row>
    <row r="39" hidden="1" ht="15" customHeight="1">
      <c r="A39" s="18" t="inlineStr">
        <is>
          <t>00-175</t>
        </is>
      </c>
      <c r="B39" s="18" t="inlineStr">
        <is>
          <t>NUEVA MARINAS DE HUDSON INVERSORA SA</t>
        </is>
      </c>
      <c r="C39" s="18" t="inlineStr">
        <is>
          <t>Laguna 4 - Puerto Nizuc</t>
        </is>
      </c>
      <c r="D39" s="13" t="inlineStr">
        <is>
          <t>Laguna 4</t>
        </is>
      </c>
      <c r="E39" s="13" t="n">
        <v>5</v>
      </c>
      <c r="F39" s="13" t="inlineStr">
        <is>
          <t>Basico</t>
        </is>
      </c>
      <c r="G39" s="13" t="inlineStr">
        <is>
          <t>Básico</t>
        </is>
      </c>
      <c r="H39" s="30" t="n">
        <v>45901</v>
      </c>
      <c r="I39" s="104" t="n"/>
      <c r="J39" s="105" t="n">
        <v>9000058.08902533</v>
      </c>
      <c r="K39" s="105" t="n">
        <v>9000058.08902533</v>
      </c>
      <c r="L39" s="13" t="inlineStr">
        <is>
          <t>Validado</t>
        </is>
      </c>
      <c r="M39" s="18" t="inlineStr">
        <is>
          <t>FC A</t>
        </is>
      </c>
      <c r="N39" s="31" t="n">
        <v>2535</v>
      </c>
      <c r="O39" s="106" t="n">
        <v>45947</v>
      </c>
      <c r="P39" s="18" t="inlineStr">
        <is>
          <t>Certificado Nº 5 - Sep'25 - Ensanche. - Laguna 4 - Puerto Nizuc (00175)</t>
        </is>
      </c>
      <c r="Q39" s="18" t="inlineStr">
        <is>
          <t>NO</t>
        </is>
      </c>
      <c r="R39" s="18" t="inlineStr">
        <is>
          <t>N/A</t>
        </is>
      </c>
      <c r="S39" s="105">
        <f>+J39</f>
        <v/>
      </c>
      <c r="T39" s="105" t="n"/>
      <c r="U39" s="105">
        <f>+S39*21%</f>
        <v/>
      </c>
      <c r="V39" s="105">
        <f>+S39*3%</f>
        <v/>
      </c>
      <c r="W39" s="105">
        <f>+S39*0.3%</f>
        <v/>
      </c>
      <c r="X39" s="105">
        <f>IF(A39="00-175",S39*0.06,0)</f>
        <v/>
      </c>
      <c r="Y39" s="105" t="n"/>
      <c r="Z39" s="105" t="n"/>
      <c r="AA39" s="105">
        <f>+S39+T39+U39+W39+X39+V39+Y39</f>
        <v/>
      </c>
      <c r="AB39" s="111" t="n">
        <v>45988</v>
      </c>
      <c r="AC39" s="105" t="n">
        <v>11727075.69</v>
      </c>
      <c r="AD39" s="106" t="n"/>
      <c r="AE39" s="105" t="n"/>
      <c r="AF39" s="22" t="n"/>
      <c r="AG39" s="105" t="n"/>
      <c r="AH39" s="105" t="n"/>
      <c r="AI39" s="105">
        <f>+AC39+AE39+AG39+AH39</f>
        <v/>
      </c>
      <c r="AJ39" s="105">
        <f>+AA39-AI39</f>
        <v/>
      </c>
      <c r="AK39" s="21">
        <f>IF(Q39="ANULADA","N/A",IF(ABS(AJ39)&gt;10,"Pendiente",IF(MAX(AB39,AD39,AF39)=0,"Pendiente",MAX(0,MAX(AB39,AD39,AF39)-O39))))</f>
        <v/>
      </c>
    </row>
    <row r="40" hidden="1" ht="15" customHeight="1">
      <c r="A40" s="18" t="inlineStr">
        <is>
          <t>00-175</t>
        </is>
      </c>
      <c r="B40" s="18" t="inlineStr">
        <is>
          <t>NUEVA MARINAS DE HUDSON INVERSORA SA</t>
        </is>
      </c>
      <c r="C40" s="18" t="inlineStr">
        <is>
          <t>Laguna 4 - Puerto Nizuc</t>
        </is>
      </c>
      <c r="D40" s="13" t="inlineStr">
        <is>
          <t>Laguna 4</t>
        </is>
      </c>
      <c r="E40" s="13" t="n">
        <v>5</v>
      </c>
      <c r="F40" s="13" t="inlineStr">
        <is>
          <t>Redet</t>
        </is>
      </c>
      <c r="G40" s="13" t="inlineStr">
        <is>
          <t>Redet.</t>
        </is>
      </c>
      <c r="H40" s="30" t="n">
        <v>45901</v>
      </c>
      <c r="I40" s="104" t="n"/>
      <c r="J40" s="105" t="n">
        <v>379802.455871067</v>
      </c>
      <c r="K40" s="105" t="n">
        <v>379802.455871067</v>
      </c>
      <c r="L40" s="13" t="inlineStr">
        <is>
          <t>Validado</t>
        </is>
      </c>
      <c r="M40" s="18" t="inlineStr">
        <is>
          <t>FC A</t>
        </is>
      </c>
      <c r="N40" s="31" t="n">
        <v>2536</v>
      </c>
      <c r="O40" s="106" t="n">
        <v>45947</v>
      </c>
      <c r="P40" s="18" t="inlineStr">
        <is>
          <t>Certificado de Redeterminación Provisoria Nº 5 - Sep'25 - Ensanche. - Laguna 4 - Puerto Nizuc (00175)</t>
        </is>
      </c>
      <c r="Q40" s="18" t="inlineStr">
        <is>
          <t>NO</t>
        </is>
      </c>
      <c r="R40" s="18" t="inlineStr">
        <is>
          <t>N/A</t>
        </is>
      </c>
      <c r="S40" s="105">
        <f>+J40</f>
        <v/>
      </c>
      <c r="T40" s="105" t="n"/>
      <c r="U40" s="105">
        <f>+S40*21%</f>
        <v/>
      </c>
      <c r="V40" s="105">
        <f>+S40*3%</f>
        <v/>
      </c>
      <c r="W40" s="105">
        <f>+S40*0.3%</f>
        <v/>
      </c>
      <c r="X40" s="105">
        <f>IF(A40="00-175",S40*0.06,0)</f>
        <v/>
      </c>
      <c r="Y40" s="105" t="n"/>
      <c r="Z40" s="105" t="n"/>
      <c r="AA40" s="105">
        <f>+S40+T40+U40+W40+X40+V40+Y40</f>
        <v/>
      </c>
      <c r="AB40" s="111" t="n">
        <v>45988</v>
      </c>
      <c r="AC40" s="105" t="n">
        <v>494882.6</v>
      </c>
      <c r="AD40" s="106" t="n"/>
      <c r="AE40" s="105" t="n"/>
      <c r="AF40" s="22" t="n"/>
      <c r="AG40" s="105" t="n"/>
      <c r="AH40" s="105" t="n"/>
      <c r="AI40" s="105">
        <f>+AC40+AE40+AG40+AH40</f>
        <v/>
      </c>
      <c r="AJ40" s="105">
        <f>+AA40-AI40</f>
        <v/>
      </c>
      <c r="AK40" s="21">
        <f>IF(Q40="ANULADA","N/A",IF(ABS(AJ40)&gt;10,"Pendiente",IF(MAX(AB40,AD40,AF40)=0,"Pendiente",MAX(0,MAX(AB40,AD40,AF40)-O40))))</f>
        <v/>
      </c>
    </row>
    <row r="41" hidden="1" ht="15" customHeight="1">
      <c r="A41" s="18" t="inlineStr">
        <is>
          <t>00-175</t>
        </is>
      </c>
      <c r="B41" s="18" t="inlineStr">
        <is>
          <t>NUEVA MARINAS DE HUDSON INVERSORA SA</t>
        </is>
      </c>
      <c r="C41" s="18" t="inlineStr">
        <is>
          <t>Laguna 4 - Puerto Nizuc</t>
        </is>
      </c>
      <c r="D41" s="13" t="inlineStr">
        <is>
          <t>Laguna 4</t>
        </is>
      </c>
      <c r="E41" s="13" t="n">
        <v>5</v>
      </c>
      <c r="F41" s="13" t="inlineStr">
        <is>
          <t>Basico</t>
        </is>
      </c>
      <c r="G41" s="13" t="inlineStr">
        <is>
          <t>Básico</t>
        </is>
      </c>
      <c r="H41" s="30" t="n">
        <v>45901</v>
      </c>
      <c r="I41" s="104" t="n"/>
      <c r="J41" s="105" t="n">
        <v>182241811.043745</v>
      </c>
      <c r="K41" s="105" t="n">
        <v>182241811.043745</v>
      </c>
      <c r="L41" s="13" t="inlineStr">
        <is>
          <t>Validado</t>
        </is>
      </c>
      <c r="M41" s="18" t="inlineStr">
        <is>
          <t>FC A</t>
        </is>
      </c>
      <c r="N41" s="31" t="n">
        <v>2538</v>
      </c>
      <c r="O41" s="106" t="n">
        <v>45952</v>
      </c>
      <c r="P41" s="18" t="inlineStr">
        <is>
          <t>Certificado Nº 5 - Sep'25.. - Laguna 4 - Puerto Nizuc (00175)</t>
        </is>
      </c>
      <c r="Q41" s="18" t="inlineStr">
        <is>
          <t>NO</t>
        </is>
      </c>
      <c r="R41" s="18" t="inlineStr">
        <is>
          <t>N/A</t>
        </is>
      </c>
      <c r="S41" s="105">
        <f>+J41</f>
        <v/>
      </c>
      <c r="T41" s="105" t="n"/>
      <c r="U41" s="105">
        <f>+S41*21%</f>
        <v/>
      </c>
      <c r="V41" s="105">
        <f>+S41*3%</f>
        <v/>
      </c>
      <c r="W41" s="105">
        <f>+S41*0.3%</f>
        <v/>
      </c>
      <c r="X41" s="105">
        <f>IF(A41="00-175",S41*0.06,0)</f>
        <v/>
      </c>
      <c r="Y41" s="105" t="n"/>
      <c r="Z41" s="105" t="n"/>
      <c r="AA41" s="105">
        <f>+S41+T41+U41+W41+X41+V41+Y41</f>
        <v/>
      </c>
      <c r="AB41" s="111" t="n">
        <v>45987</v>
      </c>
      <c r="AC41" s="105" t="n">
        <v>237461079.79</v>
      </c>
      <c r="AD41" s="106" t="n"/>
      <c r="AE41" s="105" t="n"/>
      <c r="AF41" s="22" t="n"/>
      <c r="AG41" s="105" t="n"/>
      <c r="AH41" s="105" t="n"/>
      <c r="AI41" s="105">
        <f>+AC41+AE41+AG41+AH41</f>
        <v/>
      </c>
      <c r="AJ41" s="105">
        <f>+AA41-AI41</f>
        <v/>
      </c>
      <c r="AK41" s="21">
        <f>IF(Q41="ANULADA","N/A",IF(ABS(AJ41)&gt;10,"Pendiente",IF(MAX(AB41,AD41,AF41)=0,"Pendiente",MAX(0,MAX(AB41,AD41,AF41)-O41))))</f>
        <v/>
      </c>
    </row>
    <row r="42" hidden="1" ht="15" customHeight="1">
      <c r="A42" s="18" t="inlineStr">
        <is>
          <t>00-175</t>
        </is>
      </c>
      <c r="B42" s="18" t="inlineStr">
        <is>
          <t>NUEVA MARINAS DE HUDSON INVERSORA SA</t>
        </is>
      </c>
      <c r="C42" s="18" t="inlineStr">
        <is>
          <t>Laguna 4 - Puerto Nizuc</t>
        </is>
      </c>
      <c r="D42" s="13" t="inlineStr">
        <is>
          <t>Laguna 4</t>
        </is>
      </c>
      <c r="E42" s="13" t="n">
        <v>5</v>
      </c>
      <c r="F42" s="13" t="inlineStr">
        <is>
          <t>Redet</t>
        </is>
      </c>
      <c r="G42" s="13" t="inlineStr">
        <is>
          <t>Redet.</t>
        </is>
      </c>
      <c r="H42" s="30" t="n">
        <v>45901</v>
      </c>
      <c r="I42" s="104" t="n"/>
      <c r="J42" s="105" t="n">
        <v>21925984.6431312</v>
      </c>
      <c r="K42" s="105" t="n">
        <v>21925984.6431312</v>
      </c>
      <c r="L42" s="13" t="inlineStr">
        <is>
          <t>Validado</t>
        </is>
      </c>
      <c r="M42" s="18" t="inlineStr">
        <is>
          <t>FC A</t>
        </is>
      </c>
      <c r="N42" s="31" t="n">
        <v>2539</v>
      </c>
      <c r="O42" s="106" t="n">
        <v>45952</v>
      </c>
      <c r="P42" s="18" t="inlineStr">
        <is>
          <t>Certificado de Redeterminación Provisoria Nº 5 - Sep'25. - Laguna 4 - Puerto Nizuc (00175)</t>
        </is>
      </c>
      <c r="Q42" s="18" t="inlineStr">
        <is>
          <t>NO</t>
        </is>
      </c>
      <c r="R42" s="18" t="inlineStr">
        <is>
          <t>N/A</t>
        </is>
      </c>
      <c r="S42" s="105">
        <f>+J42</f>
        <v/>
      </c>
      <c r="T42" s="105" t="n"/>
      <c r="U42" s="105">
        <f>+S42*21%</f>
        <v/>
      </c>
      <c r="V42" s="105">
        <f>+S42*3%</f>
        <v/>
      </c>
      <c r="W42" s="105">
        <f>+S42*0.3%</f>
        <v/>
      </c>
      <c r="X42" s="105">
        <f>IF(A42="00-175",S42*0.06,0)</f>
        <v/>
      </c>
      <c r="Y42" s="105" t="n"/>
      <c r="Z42" s="105" t="n"/>
      <c r="AA42" s="105">
        <f>+S42+T42+U42+W42+X42+V42+Y42</f>
        <v/>
      </c>
      <c r="AB42" s="111" t="n">
        <v>45987</v>
      </c>
      <c r="AC42" s="105" t="n">
        <v>28384065.28</v>
      </c>
      <c r="AD42" s="106" t="n">
        <v>45973</v>
      </c>
      <c r="AE42" s="105" t="n">
        <v>185492.71</v>
      </c>
      <c r="AF42" s="22" t="n"/>
      <c r="AG42" s="105" t="n"/>
      <c r="AH42" s="105" t="n"/>
      <c r="AI42" s="105">
        <f>+AC42+AE42+AG42+AH42</f>
        <v/>
      </c>
      <c r="AJ42" s="105">
        <f>+AA42-AI42</f>
        <v/>
      </c>
      <c r="AK42" s="21">
        <f>IF(Q42="ANULADA","N/A",IF(ABS(AJ42)&gt;10,"Pendiente",IF(MAX(AB42,AD42,AF42)=0,"Pendiente",MAX(0,MAX(AB42,AD42,AF42)-O42))))</f>
        <v/>
      </c>
    </row>
    <row r="43" hidden="1" ht="15" customHeight="1">
      <c r="A43" s="18" t="inlineStr">
        <is>
          <t>00-175</t>
        </is>
      </c>
      <c r="B43" s="18" t="inlineStr">
        <is>
          <t>NUEVA MARINAS DE HUDSON INVERSORA SA</t>
        </is>
      </c>
      <c r="C43" s="18" t="inlineStr">
        <is>
          <t>Laguna 4 - Puerto Nizuc</t>
        </is>
      </c>
      <c r="D43" s="13" t="inlineStr">
        <is>
          <t>Polder</t>
        </is>
      </c>
      <c r="E43" s="13" t="n">
        <v>5</v>
      </c>
      <c r="F43" s="13" t="inlineStr">
        <is>
          <t>Basico polder</t>
        </is>
      </c>
      <c r="G43" s="13" t="inlineStr">
        <is>
          <t>Básico</t>
        </is>
      </c>
      <c r="H43" s="30" t="n">
        <v>45901</v>
      </c>
      <c r="I43" s="104" t="n"/>
      <c r="J43" s="105" t="n">
        <v>48541826.5541059</v>
      </c>
      <c r="K43" s="105" t="n">
        <v>48541826.5541059</v>
      </c>
      <c r="L43" s="13" t="inlineStr">
        <is>
          <t>Validado</t>
        </is>
      </c>
      <c r="M43" s="18" t="inlineStr">
        <is>
          <t>FC A</t>
        </is>
      </c>
      <c r="N43" s="31" t="n">
        <v>2540</v>
      </c>
      <c r="O43" s="106" t="n">
        <v>45953</v>
      </c>
      <c r="P43" s="18" t="inlineStr">
        <is>
          <t>Certificado Nº 1 - Sep'25. Camino del Polder. - Laguna 4 - Puerto Nizuc (00175)</t>
        </is>
      </c>
      <c r="Q43" s="18" t="inlineStr">
        <is>
          <t>NO</t>
        </is>
      </c>
      <c r="R43" s="18" t="inlineStr">
        <is>
          <t>N/A</t>
        </is>
      </c>
      <c r="S43" s="105">
        <f>+J43</f>
        <v/>
      </c>
      <c r="T43" s="105" t="n"/>
      <c r="U43" s="105">
        <f>+S43*21%</f>
        <v/>
      </c>
      <c r="V43" s="105">
        <f>+S43*3%</f>
        <v/>
      </c>
      <c r="W43" s="105">
        <f>+S43*0.3%</f>
        <v/>
      </c>
      <c r="X43" s="105">
        <f>IF(A43="00-175",S43*0.06,0)</f>
        <v/>
      </c>
      <c r="Y43" s="105" t="n"/>
      <c r="Z43" s="105" t="n"/>
      <c r="AA43" s="105">
        <f>+S43+T43+U43+W43+X43+V43+Y43</f>
        <v/>
      </c>
      <c r="AB43" s="111" t="n">
        <v>45988</v>
      </c>
      <c r="AC43" s="105" t="n">
        <v>63250000</v>
      </c>
      <c r="AD43" s="106" t="n"/>
      <c r="AE43" s="105" t="n"/>
      <c r="AF43" s="22" t="n"/>
      <c r="AG43" s="105" t="n"/>
      <c r="AH43" s="105" t="n"/>
      <c r="AI43" s="105">
        <f>+AC43+AE43+AG43+AH43</f>
        <v/>
      </c>
      <c r="AJ43" s="105">
        <f>+AA43-AI43</f>
        <v/>
      </c>
      <c r="AK43" s="21">
        <f>IF(Q43="ANULADA","N/A",IF(ABS(AJ43)&gt;10,"Pendiente",IF(MAX(AB43,AD43,AF43)=0,"Pendiente",MAX(0,MAX(AB43,AD43,AF43)-O43))))</f>
        <v/>
      </c>
    </row>
    <row r="44" hidden="1" ht="15" customHeight="1">
      <c r="A44" s="18" t="inlineStr">
        <is>
          <t>00-175</t>
        </is>
      </c>
      <c r="B44" s="18" t="inlineStr">
        <is>
          <t>NUEVA MARINAS DE HUDSON INVERSORA SA</t>
        </is>
      </c>
      <c r="C44" s="18" t="inlineStr">
        <is>
          <t>Laguna 4 - Puerto Nizuc</t>
        </is>
      </c>
      <c r="D44" s="13" t="inlineStr">
        <is>
          <t>Polder</t>
        </is>
      </c>
      <c r="E44" s="13" t="n">
        <v>5</v>
      </c>
      <c r="F44" s="13" t="inlineStr">
        <is>
          <t>Redet polder</t>
        </is>
      </c>
      <c r="G44" s="13" t="inlineStr">
        <is>
          <t>Redet.</t>
        </is>
      </c>
      <c r="H44" s="30" t="n">
        <v>45901</v>
      </c>
      <c r="I44" s="104" t="n"/>
      <c r="J44" s="105" t="n">
        <v>3262010.74443592</v>
      </c>
      <c r="K44" s="105" t="n">
        <v>3262010.74443592</v>
      </c>
      <c r="L44" s="13" t="inlineStr">
        <is>
          <t>Validado</t>
        </is>
      </c>
      <c r="M44" s="18" t="inlineStr">
        <is>
          <t>FC A</t>
        </is>
      </c>
      <c r="N44" s="31" t="n">
        <v>2541</v>
      </c>
      <c r="O44" s="106" t="n">
        <v>45953</v>
      </c>
      <c r="P44" s="18" t="inlineStr">
        <is>
          <t>Certificado de Redeterminación Provisoria Nº 1 - Sep'25. - Laguna 4 - Puerto Nizuc (00175)</t>
        </is>
      </c>
      <c r="Q44" s="18" t="inlineStr">
        <is>
          <t>NO</t>
        </is>
      </c>
      <c r="R44" s="18" t="inlineStr">
        <is>
          <t>N/A</t>
        </is>
      </c>
      <c r="S44" s="105">
        <f>+J44</f>
        <v/>
      </c>
      <c r="T44" s="105" t="n"/>
      <c r="U44" s="105">
        <f>+S44*21%</f>
        <v/>
      </c>
      <c r="V44" s="105">
        <f>+S44*3%</f>
        <v/>
      </c>
      <c r="W44" s="105">
        <f>+S44*0.3%</f>
        <v/>
      </c>
      <c r="X44" s="105">
        <f>IF(A44="00-175",S44*0.06,0)</f>
        <v/>
      </c>
      <c r="Y44" s="105" t="n"/>
      <c r="Z44" s="105" t="n"/>
      <c r="AA44" s="105">
        <f>+S44+T44+U44+W44+X44+V44+Y44</f>
        <v/>
      </c>
      <c r="AB44" s="111" t="n">
        <v>45988</v>
      </c>
      <c r="AC44" s="105" t="n">
        <v>4250400</v>
      </c>
      <c r="AD44" s="106" t="n"/>
      <c r="AE44" s="105" t="n"/>
      <c r="AF44" s="22" t="n"/>
      <c r="AG44" s="105" t="n"/>
      <c r="AH44" s="105" t="n"/>
      <c r="AI44" s="105">
        <f>+AC44+AE44+AG44+AH44</f>
        <v/>
      </c>
      <c r="AJ44" s="105">
        <f>+AA44-AI44</f>
        <v/>
      </c>
      <c r="AK44" s="21">
        <f>IF(Q44="ANULADA","N/A",IF(ABS(AJ44)&gt;10,"Pendiente",IF(MAX(AB44,AD44,AF44)=0,"Pendiente",MAX(0,MAX(AB44,AD44,AF44)-O44))))</f>
        <v/>
      </c>
    </row>
    <row r="45" hidden="1" ht="15" customHeight="1">
      <c r="A45" s="18" t="inlineStr">
        <is>
          <t>00-175</t>
        </is>
      </c>
      <c r="B45" s="18" t="inlineStr">
        <is>
          <t>NUEVA MARINAS DE HUDSON INVERSORA SA</t>
        </is>
      </c>
      <c r="C45" s="18" t="inlineStr">
        <is>
          <t>Laguna 4 - Puerto Nizuc</t>
        </is>
      </c>
      <c r="D45" s="13" t="inlineStr">
        <is>
          <t>Laguna 4</t>
        </is>
      </c>
      <c r="E45" s="13" t="n">
        <v>6</v>
      </c>
      <c r="F45" s="13" t="inlineStr">
        <is>
          <t>Basico</t>
        </is>
      </c>
      <c r="G45" s="13" t="inlineStr">
        <is>
          <t>Básico</t>
        </is>
      </c>
      <c r="H45" s="30" t="n">
        <v>45931</v>
      </c>
      <c r="I45" s="104" t="n"/>
      <c r="J45" s="105" t="n">
        <v>247507215.11</v>
      </c>
      <c r="K45" s="105" t="n">
        <v>247507215.11</v>
      </c>
      <c r="L45" s="13" t="inlineStr">
        <is>
          <t>Validado</t>
        </is>
      </c>
      <c r="M45" s="18" t="inlineStr">
        <is>
          <t>FC A</t>
        </is>
      </c>
      <c r="N45" s="31" t="n">
        <v>2551</v>
      </c>
      <c r="O45" s="106" t="n">
        <v>45988</v>
      </c>
      <c r="P45" s="18" t="inlineStr">
        <is>
          <t>Certificado Basico Nº 6 - oct'25 - Laguna 4 - Puerto Nizuc (00175)</t>
        </is>
      </c>
      <c r="Q45" s="18" t="inlineStr">
        <is>
          <t>NO</t>
        </is>
      </c>
      <c r="R45" s="18" t="inlineStr">
        <is>
          <t>N/A</t>
        </is>
      </c>
      <c r="S45" s="105">
        <f>+J45</f>
        <v/>
      </c>
      <c r="T45" s="105" t="n"/>
      <c r="U45" s="105">
        <f>+S45*21%</f>
        <v/>
      </c>
      <c r="V45" s="105" t="n"/>
      <c r="W45" s="105">
        <f>+S45*0.3%</f>
        <v/>
      </c>
      <c r="X45" s="105">
        <f>IF(A45="00-175",S45*0.06,0)</f>
        <v/>
      </c>
      <c r="Y45" s="105" t="n"/>
      <c r="Z45" s="105" t="n"/>
      <c r="AA45" s="105">
        <f>+S45+T45+U45+W45+X45+V45+Y45</f>
        <v/>
      </c>
      <c r="AB45" s="111" t="n">
        <v>46003</v>
      </c>
      <c r="AC45" s="105" t="n">
        <v>315076684.83503</v>
      </c>
      <c r="AD45" s="22" t="n"/>
      <c r="AE45" s="105" t="n"/>
      <c r="AF45" s="22" t="n"/>
      <c r="AG45" s="105" t="n"/>
      <c r="AH45" s="105" t="n"/>
      <c r="AI45" s="105">
        <f>+AC45+AE45+AG45+AH45</f>
        <v/>
      </c>
      <c r="AJ45" s="105">
        <f>+AA45-AI45</f>
        <v/>
      </c>
      <c r="AK45" s="21">
        <f>IF(Q45="ANULADA","N/A",IF(ABS(AJ45)&gt;10,"Pendiente",IF(MAX(AB45,AD45,AF45)=0,"Pendiente",MAX(0,MAX(AB45,AD45,AF45)-O45))))</f>
        <v/>
      </c>
    </row>
    <row r="46" hidden="1" ht="15" customHeight="1">
      <c r="A46" s="18" t="inlineStr">
        <is>
          <t>00-175</t>
        </is>
      </c>
      <c r="B46" s="18" t="inlineStr">
        <is>
          <t>NUEVA MARINAS DE HUDSON INVERSORA SA</t>
        </is>
      </c>
      <c r="C46" s="18" t="inlineStr">
        <is>
          <t>Laguna 4 - Puerto Nizuc</t>
        </is>
      </c>
      <c r="D46" s="13" t="inlineStr">
        <is>
          <t>Laguna 4</t>
        </is>
      </c>
      <c r="E46" s="13" t="n">
        <v>6</v>
      </c>
      <c r="F46" s="13" t="inlineStr">
        <is>
          <t>Redet</t>
        </is>
      </c>
      <c r="G46" s="13" t="inlineStr">
        <is>
          <t>Redet.</t>
        </is>
      </c>
      <c r="H46" s="30" t="n">
        <v>45931</v>
      </c>
      <c r="I46" s="104" t="n"/>
      <c r="J46" s="105" t="n">
        <v>44730628.76</v>
      </c>
      <c r="K46" s="105" t="n">
        <v>44730628.76</v>
      </c>
      <c r="L46" s="13" t="inlineStr">
        <is>
          <t>Validado</t>
        </is>
      </c>
      <c r="M46" s="18" t="inlineStr">
        <is>
          <t>FC A</t>
        </is>
      </c>
      <c r="N46" s="31" t="n">
        <v>2552</v>
      </c>
      <c r="O46" s="106" t="n">
        <v>45988</v>
      </c>
      <c r="P46" s="18" t="inlineStr">
        <is>
          <t>Certificado de Redeterminación de Precios Provisoria Nº 6 - oct'25 - Laguna 4 - Puerto Nizuc (00175)</t>
        </is>
      </c>
      <c r="Q46" s="18" t="inlineStr">
        <is>
          <t>NO</t>
        </is>
      </c>
      <c r="R46" s="18" t="inlineStr">
        <is>
          <t>N/A</t>
        </is>
      </c>
      <c r="S46" s="105">
        <f>+J46</f>
        <v/>
      </c>
      <c r="T46" s="105" t="n"/>
      <c r="U46" s="105">
        <f>+S46*21%</f>
        <v/>
      </c>
      <c r="V46" s="105" t="n"/>
      <c r="W46" s="105">
        <f>+S46*0.3%</f>
        <v/>
      </c>
      <c r="X46" s="105">
        <f>IF(A46="00-175",S46*0.06,0)</f>
        <v/>
      </c>
      <c r="Y46" s="105" t="n"/>
      <c r="Z46" s="105" t="n"/>
      <c r="AA46" s="105">
        <f>+S46+T46+U46+W46+X46+V46+Y46</f>
        <v/>
      </c>
      <c r="AB46" s="111" t="n">
        <v>46003</v>
      </c>
      <c r="AC46" s="105" t="n">
        <v>56942090.41148</v>
      </c>
      <c r="AD46" s="20" t="n"/>
      <c r="AE46" s="105" t="n"/>
      <c r="AF46" s="18" t="n"/>
      <c r="AG46" s="105" t="n"/>
      <c r="AH46" s="105" t="n"/>
      <c r="AI46" s="105">
        <f>+AC46+AE46+AG46+AH46</f>
        <v/>
      </c>
      <c r="AJ46" s="105">
        <f>+AA46-AI46</f>
        <v/>
      </c>
      <c r="AK46" s="21">
        <f>IF(Q46="ANULADA","N/A",IF(ABS(AJ46)&gt;10,"Pendiente",IF(MAX(AB46,AD46,AF46)=0,"Pendiente",MAX(0,MAX(AB46,AD46,AF46)-O46))))</f>
        <v/>
      </c>
    </row>
    <row r="47" hidden="1" ht="15" customHeight="1">
      <c r="A47" s="33" t="inlineStr">
        <is>
          <t>00-175</t>
        </is>
      </c>
      <c r="B47" s="33" t="inlineStr">
        <is>
          <t>NUEVA MARINAS DE HUDSON INVERSORA SA</t>
        </is>
      </c>
      <c r="C47" s="33" t="inlineStr">
        <is>
          <t>Laguna 4 - Puerto Nizuc</t>
        </is>
      </c>
      <c r="D47" s="13" t="inlineStr">
        <is>
          <t>Laguna 4</t>
        </is>
      </c>
      <c r="E47" s="13" t="n">
        <v>7</v>
      </c>
      <c r="F47" s="13" t="inlineStr">
        <is>
          <t>Basico</t>
        </is>
      </c>
      <c r="G47" s="13" t="inlineStr">
        <is>
          <t>Básico</t>
        </is>
      </c>
      <c r="H47" s="30" t="n">
        <v>45962</v>
      </c>
      <c r="I47" s="104" t="n"/>
      <c r="J47" s="105" t="n">
        <v>167064037.31</v>
      </c>
      <c r="K47" s="105" t="n">
        <v>167064037.31</v>
      </c>
      <c r="L47" s="13" t="inlineStr">
        <is>
          <t>Validado</t>
        </is>
      </c>
      <c r="M47" s="33" t="inlineStr">
        <is>
          <t>FC A</t>
        </is>
      </c>
      <c r="N47" s="34" t="n">
        <v>2556</v>
      </c>
      <c r="O47" s="106" t="n">
        <v>46028</v>
      </c>
      <c r="P47" s="33" t="inlineStr">
        <is>
          <t>Certificado Nº 7 - Nov'25 - Laguna 4 - Puerto Nizuc (00175)</t>
        </is>
      </c>
      <c r="Q47" s="33" t="inlineStr">
        <is>
          <t>NO</t>
        </is>
      </c>
      <c r="R47" s="33" t="inlineStr">
        <is>
          <t>N/A</t>
        </is>
      </c>
      <c r="S47" s="105">
        <f>+J47</f>
        <v/>
      </c>
      <c r="T47" s="105" t="n"/>
      <c r="U47" s="105">
        <f>+S47*21%</f>
        <v/>
      </c>
      <c r="V47" s="105">
        <f>+S47*3%</f>
        <v/>
      </c>
      <c r="W47" s="105">
        <f>+S47*0.3%</f>
        <v/>
      </c>
      <c r="X47" s="105">
        <f>IF(A47="00-175",S47*0.06,0)</f>
        <v/>
      </c>
      <c r="Y47" s="105" t="n"/>
      <c r="Z47" s="105" t="n"/>
      <c r="AA47" s="105">
        <f>+S47+T47+U47+W47+X47+V47+Y47</f>
        <v/>
      </c>
      <c r="AB47" s="112" t="n">
        <v>46078</v>
      </c>
      <c r="AC47" s="105" t="n">
        <v>211941407.87</v>
      </c>
      <c r="AD47" s="112" t="n">
        <v>46121</v>
      </c>
      <c r="AE47" s="105" t="n">
        <v>5743032.74</v>
      </c>
      <c r="AF47" s="33" t="n"/>
      <c r="AG47" s="105" t="n"/>
      <c r="AH47" s="105" t="n"/>
      <c r="AI47" s="105">
        <f>+AC47+AE47+AG47+AH47</f>
        <v/>
      </c>
      <c r="AJ47" s="105">
        <f>+AA47-AI47</f>
        <v/>
      </c>
      <c r="AK47" s="21">
        <f>IF(Q47="ANULADA","N/A",IF(ABS(AJ47)&gt;10,"Pendiente",IF(MAX(AB47,AD47,AF47)=0,"Pendiente",MAX(0,MAX(AB47,AD47,AF47)-O47))))</f>
        <v/>
      </c>
    </row>
    <row r="48" hidden="1" ht="15" customHeight="1">
      <c r="A48" s="18" t="inlineStr">
        <is>
          <t>00-175</t>
        </is>
      </c>
      <c r="B48" s="18" t="inlineStr">
        <is>
          <t>NUEVA MARINAS DE HUDSON INVERSORA SA</t>
        </is>
      </c>
      <c r="C48" s="18" t="inlineStr">
        <is>
          <t>Laguna 4 - Puerto Nizuc</t>
        </is>
      </c>
      <c r="D48" s="13" t="inlineStr">
        <is>
          <t>Laguna 4</t>
        </is>
      </c>
      <c r="E48" s="13" t="n">
        <v>7</v>
      </c>
      <c r="F48" s="13" t="inlineStr">
        <is>
          <t>Redet</t>
        </is>
      </c>
      <c r="G48" s="13" t="inlineStr">
        <is>
          <t>Redet.</t>
        </is>
      </c>
      <c r="H48" s="30" t="n">
        <v>45962</v>
      </c>
      <c r="I48" s="104" t="n"/>
      <c r="J48" s="105" t="n">
        <v>37711659.34</v>
      </c>
      <c r="K48" s="105" t="n">
        <v>37711659.34</v>
      </c>
      <c r="L48" s="13" t="inlineStr">
        <is>
          <t>Validado</t>
        </is>
      </c>
      <c r="M48" s="18" t="inlineStr">
        <is>
          <t>FC A</t>
        </is>
      </c>
      <c r="N48" s="31" t="n">
        <v>2557</v>
      </c>
      <c r="O48" s="106" t="n">
        <v>46028</v>
      </c>
      <c r="P48" s="18" t="inlineStr">
        <is>
          <t>Certificado de Redeterminación de Precios Provisoria Nº 7 - Nov'25 - Laguna 4 - Puerto Nizuc (00175)</t>
        </is>
      </c>
      <c r="Q48" s="18" t="inlineStr">
        <is>
          <t>NO</t>
        </is>
      </c>
      <c r="R48" s="18" t="inlineStr">
        <is>
          <t>N/A</t>
        </is>
      </c>
      <c r="S48" s="105">
        <f>+J48</f>
        <v/>
      </c>
      <c r="T48" s="105" t="n"/>
      <c r="U48" s="105">
        <f>+S48*21%</f>
        <v/>
      </c>
      <c r="V48" s="105">
        <f>+S48*3%</f>
        <v/>
      </c>
      <c r="W48" s="105">
        <f>+S48*0.3%</f>
        <v/>
      </c>
      <c r="X48" s="105">
        <f>IF(A48="00-175",S48*0.06,0)</f>
        <v/>
      </c>
      <c r="Y48" s="105" t="n"/>
      <c r="Z48" s="105" t="n"/>
      <c r="AA48" s="105">
        <f>+S48+T48+U48+W48+X48+V48+Y48</f>
        <v/>
      </c>
      <c r="AB48" s="111" t="n">
        <v>46078</v>
      </c>
      <c r="AC48" s="105" t="n">
        <v>49138292.12</v>
      </c>
      <c r="AD48" s="20" t="n"/>
      <c r="AE48" s="105" t="n"/>
      <c r="AF48" s="18" t="n"/>
      <c r="AG48" s="105" t="n"/>
      <c r="AH48" s="105" t="n"/>
      <c r="AI48" s="105">
        <f>+AC48+AE48+AG48+AH48</f>
        <v/>
      </c>
      <c r="AJ48" s="105">
        <f>+AA48-AI48</f>
        <v/>
      </c>
      <c r="AK48" s="21">
        <f>IF(Q48="ANULADA","N/A",IF(ABS(AJ48)&gt;10,"Pendiente",IF(MAX(AB48,AD48,AF48)=0,"Pendiente",MAX(0,MAX(AB48,AD48,AF48)-O48))))</f>
        <v/>
      </c>
    </row>
    <row r="49" hidden="1" ht="15" customHeight="1">
      <c r="A49" s="18" t="inlineStr">
        <is>
          <t>00-175</t>
        </is>
      </c>
      <c r="B49" s="18" t="inlineStr">
        <is>
          <t>NUEVA MARINAS DE HUDSON INVERSORA SA</t>
        </is>
      </c>
      <c r="C49" s="18" t="inlineStr">
        <is>
          <t>Laguna 4 - Puerto Nizuc</t>
        </is>
      </c>
      <c r="D49" s="13" t="inlineStr">
        <is>
          <t>Laguna 4</t>
        </is>
      </c>
      <c r="E49" s="13" t="n">
        <v>8</v>
      </c>
      <c r="F49" s="13" t="inlineStr">
        <is>
          <t>Basico</t>
        </is>
      </c>
      <c r="G49" s="13" t="inlineStr">
        <is>
          <t>Básico</t>
        </is>
      </c>
      <c r="H49" s="30" t="n">
        <v>45992</v>
      </c>
      <c r="I49" s="104" t="n"/>
      <c r="J49" s="105" t="n">
        <v>95486782.19</v>
      </c>
      <c r="K49" s="105" t="n">
        <v>95486782.19</v>
      </c>
      <c r="L49" s="13" t="inlineStr">
        <is>
          <t>Validado</t>
        </is>
      </c>
      <c r="M49" s="18" t="inlineStr">
        <is>
          <t>FC A</t>
        </is>
      </c>
      <c r="N49" s="31" t="n">
        <v>2569</v>
      </c>
      <c r="O49" s="106" t="n">
        <v>46053</v>
      </c>
      <c r="P49" s="18" t="inlineStr">
        <is>
          <t>Certificado Nº 8 - Dic'25.. - Laguna 4 - Puerto Nizuc (00175)</t>
        </is>
      </c>
      <c r="Q49" s="18" t="inlineStr">
        <is>
          <t>NO</t>
        </is>
      </c>
      <c r="R49" s="18" t="inlineStr">
        <is>
          <t>N/A</t>
        </is>
      </c>
      <c r="S49" s="105">
        <f>+J49</f>
        <v/>
      </c>
      <c r="T49" s="105" t="n"/>
      <c r="U49" s="105">
        <f>+S49*21%</f>
        <v/>
      </c>
      <c r="V49" s="105">
        <f>+S49*3%</f>
        <v/>
      </c>
      <c r="W49" s="105">
        <f>+S49*0.3%</f>
        <v/>
      </c>
      <c r="X49" s="105">
        <f>IF(A49="00-175",S49*0.06,0)</f>
        <v/>
      </c>
      <c r="Y49" s="105" t="n"/>
      <c r="Z49" s="105" t="n"/>
      <c r="AA49" s="105">
        <f>+S49+T49+U49+W49+X49+V49+Y49</f>
        <v/>
      </c>
      <c r="AB49" s="111" t="n">
        <v>46078</v>
      </c>
      <c r="AC49" s="105" t="n">
        <v>124419277.2</v>
      </c>
      <c r="AD49" s="20" t="n"/>
      <c r="AE49" s="105" t="n"/>
      <c r="AF49" s="18" t="n"/>
      <c r="AG49" s="105" t="n"/>
      <c r="AH49" s="105" t="n"/>
      <c r="AI49" s="105">
        <f>+AC49+AE49+AG49+AH49</f>
        <v/>
      </c>
      <c r="AJ49" s="105">
        <f>+AA49-AI49</f>
        <v/>
      </c>
      <c r="AK49" s="21">
        <f>IF(Q49="ANULADA","N/A",IF(ABS(AJ49)&gt;10,"Pendiente",IF(MAX(AB49,AD49,AF49)=0,"Pendiente",MAX(0,MAX(AB49,AD49,AF49)-O49))))</f>
        <v/>
      </c>
    </row>
    <row r="50" hidden="1" ht="15" customHeight="1">
      <c r="A50" s="18" t="inlineStr">
        <is>
          <t>00-175</t>
        </is>
      </c>
      <c r="B50" s="18" t="inlineStr">
        <is>
          <t>NUEVA MARINAS DE HUDSON INVERSORA SA</t>
        </is>
      </c>
      <c r="C50" s="18" t="inlineStr">
        <is>
          <t>Laguna 4 - Puerto Nizuc</t>
        </is>
      </c>
      <c r="D50" s="13" t="inlineStr">
        <is>
          <t>Laguna 4</t>
        </is>
      </c>
      <c r="E50" s="13" t="n">
        <v>8</v>
      </c>
      <c r="F50" s="13" t="inlineStr">
        <is>
          <t>Redet</t>
        </is>
      </c>
      <c r="G50" s="13" t="inlineStr">
        <is>
          <t>Redet.</t>
        </is>
      </c>
      <c r="H50" s="30" t="n">
        <v>45992</v>
      </c>
      <c r="I50" s="104" t="n"/>
      <c r="J50" s="105" t="n">
        <v>22839845.19</v>
      </c>
      <c r="K50" s="105" t="n">
        <v>22839845.19</v>
      </c>
      <c r="L50" s="13" t="inlineStr">
        <is>
          <t>Validado</t>
        </is>
      </c>
      <c r="M50" s="18" t="inlineStr">
        <is>
          <t>FC A</t>
        </is>
      </c>
      <c r="N50" s="31" t="n">
        <v>2570</v>
      </c>
      <c r="O50" s="106" t="n">
        <v>46053</v>
      </c>
      <c r="P50" s="18" t="inlineStr">
        <is>
          <t>Certificado de Redeterminación Provisoria Nº 8 - Dic'25. - Laguna 4 - Puerto Nizuc (00175)</t>
        </is>
      </c>
      <c r="Q50" s="18" t="inlineStr">
        <is>
          <t>NO</t>
        </is>
      </c>
      <c r="R50" s="18" t="inlineStr">
        <is>
          <t>N/A</t>
        </is>
      </c>
      <c r="S50" s="105">
        <f>+J50</f>
        <v/>
      </c>
      <c r="T50" s="105" t="n"/>
      <c r="U50" s="105">
        <f>+S50*21%</f>
        <v/>
      </c>
      <c r="V50" s="105">
        <f>+S50*3%</f>
        <v/>
      </c>
      <c r="W50" s="105">
        <f>+S50*0.3%</f>
        <v/>
      </c>
      <c r="X50" s="105">
        <f>IF(A50="00-175",S50*0.06,0)</f>
        <v/>
      </c>
      <c r="Y50" s="105" t="n"/>
      <c r="Z50" s="105" t="n"/>
      <c r="AA50" s="105">
        <f>+S50+T50+U50+W50+X50+V50+Y50</f>
        <v/>
      </c>
      <c r="AB50" s="111" t="n">
        <v>46078</v>
      </c>
      <c r="AC50" s="105" t="n">
        <v>29760318.29</v>
      </c>
      <c r="AD50" s="20" t="n"/>
      <c r="AE50" s="105" t="n"/>
      <c r="AF50" s="18" t="n"/>
      <c r="AG50" s="105" t="n"/>
      <c r="AH50" s="105" t="n"/>
      <c r="AI50" s="105">
        <f>+AC50+AE50+AG50+AH50</f>
        <v/>
      </c>
      <c r="AJ50" s="105">
        <f>+AA50-AI50</f>
        <v/>
      </c>
      <c r="AK50" s="21">
        <f>IF(Q50="ANULADA","N/A",IF(ABS(AJ50)&gt;10,"Pendiente",IF(MAX(AB50,AD50,AF50)=0,"Pendiente",MAX(0,MAX(AB50,AD50,AF50)-O50))))</f>
        <v/>
      </c>
    </row>
    <row r="51" hidden="1" ht="15" customHeight="1">
      <c r="A51" s="33" t="inlineStr">
        <is>
          <t>00-175</t>
        </is>
      </c>
      <c r="B51" s="33" t="inlineStr">
        <is>
          <t>NUEVA MARINAS DE HUDSON INVERSORA SA</t>
        </is>
      </c>
      <c r="C51" s="33" t="inlineStr">
        <is>
          <t>Laguna 4 - Puerto Nizuc</t>
        </is>
      </c>
      <c r="D51" s="13" t="inlineStr">
        <is>
          <t>Laguna 4</t>
        </is>
      </c>
      <c r="E51" s="13" t="n">
        <v>9</v>
      </c>
      <c r="F51" s="13" t="inlineStr">
        <is>
          <t>Basico</t>
        </is>
      </c>
      <c r="G51" s="13" t="inlineStr">
        <is>
          <t>Básico</t>
        </is>
      </c>
      <c r="H51" s="30" t="n">
        <v>46023</v>
      </c>
      <c r="I51" s="104" t="n"/>
      <c r="J51" s="105" t="n">
        <v>109912411.26</v>
      </c>
      <c r="K51" s="105" t="n">
        <v>109912411.26</v>
      </c>
      <c r="L51" s="13" t="inlineStr">
        <is>
          <t>Validado</t>
        </is>
      </c>
      <c r="M51" s="33" t="inlineStr">
        <is>
          <t>FC A</t>
        </is>
      </c>
      <c r="N51" s="34" t="n">
        <v>2582</v>
      </c>
      <c r="O51" s="106" t="n">
        <v>46076</v>
      </c>
      <c r="P51" s="33" t="inlineStr">
        <is>
          <t>Certificado Nº 9 - Ene'26.. - Laguna 4 - Puerto Nizuc (00175)</t>
        </is>
      </c>
      <c r="Q51" s="33" t="inlineStr">
        <is>
          <t>NO</t>
        </is>
      </c>
      <c r="R51" s="33" t="inlineStr">
        <is>
          <t>N/A</t>
        </is>
      </c>
      <c r="S51" s="105">
        <f>+J51</f>
        <v/>
      </c>
      <c r="T51" s="105" t="n"/>
      <c r="U51" s="105">
        <f>+S51*21%</f>
        <v/>
      </c>
      <c r="V51" s="105">
        <f>+S51*3%</f>
        <v/>
      </c>
      <c r="W51" s="105">
        <f>+S51*0.3%</f>
        <v/>
      </c>
      <c r="X51" s="105">
        <f>IF(A51="00-175",S51*0.06,0)</f>
        <v/>
      </c>
      <c r="Y51" s="105" t="n"/>
      <c r="Z51" s="105" t="n"/>
      <c r="AA51" s="105">
        <f>+S51+T51+U51+W51+X51+V51+Y51</f>
        <v/>
      </c>
      <c r="AB51" s="106" t="n">
        <v>46121</v>
      </c>
      <c r="AC51" s="105" t="n">
        <v>143215871.87</v>
      </c>
      <c r="AD51" s="106" t="n"/>
      <c r="AE51" s="105" t="n"/>
      <c r="AF51" s="33" t="n"/>
      <c r="AG51" s="105" t="n"/>
      <c r="AH51" s="105" t="n"/>
      <c r="AI51" s="105">
        <f>+AC51+AE51+AG51+AH51</f>
        <v/>
      </c>
      <c r="AJ51" s="105">
        <f>+AA51-AI51</f>
        <v/>
      </c>
      <c r="AK51" s="21">
        <f>IF(Q51="ANULADA","N/A",IF(ABS(AJ51)&gt;10,"Pendiente",IF(MAX(AB51,AD51,AF51)=0,"Pendiente",MAX(0,MAX(AB51,AD51,AF51)-O51))))</f>
        <v/>
      </c>
    </row>
    <row r="52" hidden="1" ht="15" customHeight="1">
      <c r="A52" s="22" t="inlineStr">
        <is>
          <t>00-175</t>
        </is>
      </c>
      <c r="B52" s="22" t="inlineStr">
        <is>
          <t>NUEVA MARINAS DE HUDSON INVERSORA SA</t>
        </is>
      </c>
      <c r="C52" s="22" t="inlineStr">
        <is>
          <t>Laguna 4 - Puerto Nizuc</t>
        </is>
      </c>
      <c r="D52" s="13" t="inlineStr">
        <is>
          <t>Laguna 4</t>
        </is>
      </c>
      <c r="E52" s="13" t="n">
        <v>9</v>
      </c>
      <c r="F52" s="13" t="inlineStr">
        <is>
          <t>Redet</t>
        </is>
      </c>
      <c r="G52" s="13" t="inlineStr">
        <is>
          <t>Redet.</t>
        </is>
      </c>
      <c r="H52" s="30" t="n">
        <v>46023</v>
      </c>
      <c r="I52" s="104" t="n"/>
      <c r="J52" s="105" t="n">
        <v>24692103.82</v>
      </c>
      <c r="K52" s="105" t="n">
        <v>24692103.82</v>
      </c>
      <c r="L52" s="13" t="inlineStr">
        <is>
          <t>Validado</t>
        </is>
      </c>
      <c r="M52" s="22" t="inlineStr">
        <is>
          <t>FC A</t>
        </is>
      </c>
      <c r="N52" s="24" t="n">
        <v>2583</v>
      </c>
      <c r="O52" s="106" t="n">
        <v>46076</v>
      </c>
      <c r="P52" s="22" t="inlineStr">
        <is>
          <t>Certificado de Redeterminación Provisoria Nº 9 - Ene'26. - Laguna 4 - Puerto Nizuc (00175)</t>
        </is>
      </c>
      <c r="Q52" s="22" t="inlineStr">
        <is>
          <t>NO</t>
        </is>
      </c>
      <c r="R52" s="22" t="inlineStr">
        <is>
          <t>N/A</t>
        </is>
      </c>
      <c r="S52" s="105">
        <f>+J52</f>
        <v/>
      </c>
      <c r="T52" s="105" t="n"/>
      <c r="U52" s="105">
        <f>+S52*21%</f>
        <v/>
      </c>
      <c r="V52" s="105">
        <f>+S52*3%</f>
        <v/>
      </c>
      <c r="W52" s="105">
        <f>+S52*0.3%</f>
        <v/>
      </c>
      <c r="X52" s="105">
        <f>IF(A52="00-175",S52*0.06,0)</f>
        <v/>
      </c>
      <c r="Y52" s="105" t="n"/>
      <c r="Z52" s="105" t="n"/>
      <c r="AA52" s="105">
        <f>+S52+T52+U52+W52+X52+V52+Y52</f>
        <v/>
      </c>
      <c r="AB52" s="106" t="n">
        <v>46121</v>
      </c>
      <c r="AC52" s="105" t="n">
        <v>32173811.27</v>
      </c>
      <c r="AD52" s="106" t="n">
        <v>46121</v>
      </c>
      <c r="AE52" s="105" t="n"/>
      <c r="AF52" s="22" t="n"/>
      <c r="AG52" s="105" t="n"/>
      <c r="AH52" s="105" t="n"/>
      <c r="AI52" s="105">
        <f>+AC52+AE52+AG52+AH52</f>
        <v/>
      </c>
      <c r="AJ52" s="105">
        <f>+AA52-AI52</f>
        <v/>
      </c>
      <c r="AK52" s="21">
        <f>IF(Q52="ANULADA","N/A",IF(ABS(AJ52)&gt;10,"Pendiente",IF(MAX(AB52,AD52,AF52)=0,"Pendiente",MAX(0,MAX(AB52,AD52,AF52)-O52))))</f>
        <v/>
      </c>
    </row>
    <row r="53" hidden="1" ht="15" customHeight="1">
      <c r="A53" s="22" t="inlineStr">
        <is>
          <t>00-175</t>
        </is>
      </c>
      <c r="B53" s="22" t="inlineStr">
        <is>
          <t>NUEVA MARINAS DE HUDSON INVERSORA SA</t>
        </is>
      </c>
      <c r="C53" s="22" t="inlineStr">
        <is>
          <t>Laguna 4 - Puerto Nizuc</t>
        </is>
      </c>
      <c r="D53" s="13" t="inlineStr">
        <is>
          <t>Alquiler de equipos</t>
        </is>
      </c>
      <c r="E53" s="13" t="n">
        <v>9</v>
      </c>
      <c r="F53" s="13" t="inlineStr">
        <is>
          <t>Alquiler equipo</t>
        </is>
      </c>
      <c r="G53" s="13" t="inlineStr">
        <is>
          <t>Básico</t>
        </is>
      </c>
      <c r="H53" s="30" t="n">
        <v>46023</v>
      </c>
      <c r="I53" s="104" t="n"/>
      <c r="J53" s="105" t="n">
        <v>13950000</v>
      </c>
      <c r="K53" s="105" t="n">
        <v>13950000</v>
      </c>
      <c r="L53" s="13" t="inlineStr">
        <is>
          <t>Validado</t>
        </is>
      </c>
      <c r="M53" s="22" t="inlineStr">
        <is>
          <t>FC A</t>
        </is>
      </c>
      <c r="N53" s="24" t="n">
        <v>2587</v>
      </c>
      <c r="O53" s="106" t="n">
        <v>46076</v>
      </c>
      <c r="P53" s="22" t="inlineStr">
        <is>
          <t>Certificado Nº 1 - Ene'26.. - Laguna 4 - Puerto Nizuc (00175)</t>
        </is>
      </c>
      <c r="Q53" s="22" t="inlineStr">
        <is>
          <t>NO</t>
        </is>
      </c>
      <c r="R53" s="22" t="inlineStr">
        <is>
          <t>N/A</t>
        </is>
      </c>
      <c r="S53" s="105">
        <f>+J53</f>
        <v/>
      </c>
      <c r="T53" s="105" t="n"/>
      <c r="U53" s="105">
        <f>+S53*21%</f>
        <v/>
      </c>
      <c r="V53" s="105">
        <f>+S53*3%</f>
        <v/>
      </c>
      <c r="W53" s="105">
        <f>+S53*0.3%</f>
        <v/>
      </c>
      <c r="X53" s="105">
        <f>IF(A53="00-175",S53*0.06,0)</f>
        <v/>
      </c>
      <c r="Y53" s="105" t="n"/>
      <c r="Z53" s="105" t="n"/>
      <c r="AA53" s="105">
        <f>+S53+T53+U53+W53+X53+V53+Y53</f>
        <v/>
      </c>
      <c r="AB53" s="106" t="n">
        <v>46121</v>
      </c>
      <c r="AC53" s="105" t="n">
        <v>18176278.11</v>
      </c>
      <c r="AD53" s="106" t="n">
        <v>46141</v>
      </c>
      <c r="AE53" s="105" t="n">
        <v>571.89</v>
      </c>
      <c r="AF53" s="22" t="n"/>
      <c r="AG53" s="105" t="n"/>
      <c r="AH53" s="105" t="n"/>
      <c r="AI53" s="105">
        <f>+AC53+AE53+AG53+AH53</f>
        <v/>
      </c>
      <c r="AJ53" s="105">
        <f>+AA53-AI53</f>
        <v/>
      </c>
      <c r="AK53" s="21">
        <f>IF(Q53="ANULADA","N/A",IF(ABS(AJ53)&gt;10,"Pendiente",IF(MAX(AB53,AD53,AF53)=0,"Pendiente",MAX(0,MAX(AB53,AD53,AF53)-O53))))</f>
        <v/>
      </c>
    </row>
    <row r="54" hidden="1" ht="15" customHeight="1">
      <c r="A54" s="22" t="inlineStr">
        <is>
          <t>00-175</t>
        </is>
      </c>
      <c r="B54" s="22" t="inlineStr">
        <is>
          <t>NUEVA MARINAS DE HUDSON INVERSORA SA</t>
        </is>
      </c>
      <c r="C54" s="22" t="inlineStr">
        <is>
          <t>Laguna 4 - Puerto Nizuc</t>
        </is>
      </c>
      <c r="D54" s="13" t="inlineStr">
        <is>
          <t>Laguna 4</t>
        </is>
      </c>
      <c r="E54" s="13" t="n">
        <v>10</v>
      </c>
      <c r="F54" s="13" t="inlineStr">
        <is>
          <t>Basico</t>
        </is>
      </c>
      <c r="G54" s="13" t="inlineStr">
        <is>
          <t>Básico</t>
        </is>
      </c>
      <c r="H54" s="30" t="n">
        <v>46054</v>
      </c>
      <c r="I54" s="104" t="n"/>
      <c r="J54" s="105" t="n">
        <v>1938001.14</v>
      </c>
      <c r="K54" s="105" t="n">
        <v>1938001.14</v>
      </c>
      <c r="L54" s="13" t="inlineStr">
        <is>
          <t>Validado</t>
        </is>
      </c>
      <c r="M54" s="22" t="inlineStr">
        <is>
          <t>FC A</t>
        </is>
      </c>
      <c r="N54" s="24" t="n">
        <v>2600</v>
      </c>
      <c r="O54" s="106" t="n">
        <v>46132</v>
      </c>
      <c r="P54" s="22" t="inlineStr">
        <is>
          <t>Certificado Nº 10 - Feb'26.</t>
        </is>
      </c>
      <c r="Q54" s="22" t="inlineStr">
        <is>
          <t>NO</t>
        </is>
      </c>
      <c r="R54" s="22" t="inlineStr">
        <is>
          <t>N/A</t>
        </is>
      </c>
      <c r="S54" s="105">
        <f>+J54</f>
        <v/>
      </c>
      <c r="T54" s="105" t="n"/>
      <c r="U54" s="105">
        <f>+S54*21%</f>
        <v/>
      </c>
      <c r="V54" s="105">
        <f>+S54*3%</f>
        <v/>
      </c>
      <c r="W54" s="105">
        <f>+S54*0.3%</f>
        <v/>
      </c>
      <c r="X54" s="105">
        <f>IF(A54="00-175",S54*0.06,0)</f>
        <v/>
      </c>
      <c r="Y54" s="105" t="n"/>
      <c r="Z54" s="105" t="n"/>
      <c r="AA54" s="105">
        <f>+S54+T54+U54+W54+X54+V54+Y54</f>
        <v/>
      </c>
      <c r="AB54" s="107" t="n">
        <v>46141</v>
      </c>
      <c r="AC54" s="105" t="n">
        <v>2525215.48</v>
      </c>
      <c r="AD54" s="22" t="n"/>
      <c r="AE54" s="105" t="n"/>
      <c r="AF54" s="22" t="n"/>
      <c r="AG54" s="105" t="n"/>
      <c r="AH54" s="105" t="n"/>
      <c r="AI54" s="105">
        <f>+AC54+AE54+AG54+AH54</f>
        <v/>
      </c>
      <c r="AJ54" s="105">
        <f>+AA54-AI54</f>
        <v/>
      </c>
      <c r="AK54" s="21">
        <f>IF(Q54="ANULADA","N/A",IF(ABS(AJ54)&gt;10,"Pendiente",IF(MAX(AB54,AD54,AF54)=0,"Pendiente",MAX(0,MAX(AB54,AD54,AF54)-O54))))</f>
        <v/>
      </c>
    </row>
    <row r="55" hidden="1" ht="15" customHeight="1">
      <c r="A55" s="22" t="inlineStr">
        <is>
          <t>00-175</t>
        </is>
      </c>
      <c r="B55" s="22" t="inlineStr">
        <is>
          <t>NUEVA MARINAS DE HUDSON INVERSORA SA</t>
        </is>
      </c>
      <c r="C55" s="22" t="inlineStr">
        <is>
          <t>Laguna 4 - Puerto Nizuc</t>
        </is>
      </c>
      <c r="D55" s="13" t="inlineStr">
        <is>
          <t>Laguna 4</t>
        </is>
      </c>
      <c r="E55" s="13" t="n">
        <v>10</v>
      </c>
      <c r="F55" s="13" t="inlineStr">
        <is>
          <t>Redet</t>
        </is>
      </c>
      <c r="G55" s="13" t="inlineStr">
        <is>
          <t>Redet.</t>
        </is>
      </c>
      <c r="H55" s="30" t="n">
        <v>46054</v>
      </c>
      <c r="I55" s="104" t="n"/>
      <c r="J55" s="105" t="n">
        <v>3529738.54</v>
      </c>
      <c r="K55" s="105" t="n">
        <v>3529738.54</v>
      </c>
      <c r="L55" s="13" t="inlineStr">
        <is>
          <t>Validado</t>
        </is>
      </c>
      <c r="M55" s="22" t="inlineStr">
        <is>
          <t>FC A</t>
        </is>
      </c>
      <c r="N55" s="24" t="n">
        <v>2601</v>
      </c>
      <c r="O55" s="106" t="n">
        <v>46132</v>
      </c>
      <c r="P55" s="22" t="inlineStr">
        <is>
          <t>Redeterminación Provisoria Nº 10 - Feb'26. y Redeterminación Definitiva Nº 9 - Ene'26.</t>
        </is>
      </c>
      <c r="Q55" s="22" t="inlineStr">
        <is>
          <t>NO</t>
        </is>
      </c>
      <c r="R55" s="22" t="inlineStr">
        <is>
          <t>N/A</t>
        </is>
      </c>
      <c r="S55" s="105">
        <f>+J55</f>
        <v/>
      </c>
      <c r="T55" s="105" t="n"/>
      <c r="U55" s="105">
        <f>+S55*21%</f>
        <v/>
      </c>
      <c r="V55" s="105">
        <f>+S55*3%</f>
        <v/>
      </c>
      <c r="W55" s="105">
        <f>+S55*0.3%</f>
        <v/>
      </c>
      <c r="X55" s="105">
        <f>IF(A55="00-175",S55*0.06,0)</f>
        <v/>
      </c>
      <c r="Y55" s="105" t="n"/>
      <c r="Z55" s="105" t="n"/>
      <c r="AA55" s="105">
        <f>+S55+T55+U55+W55+X55+V55+Y55</f>
        <v/>
      </c>
      <c r="AB55" s="107" t="n">
        <v>46141</v>
      </c>
      <c r="AC55" s="105" t="n">
        <v>4599249.32</v>
      </c>
      <c r="AD55" s="22" t="n"/>
      <c r="AE55" s="105" t="n"/>
      <c r="AF55" s="22" t="n"/>
      <c r="AG55" s="105" t="n"/>
      <c r="AH55" s="105" t="n"/>
      <c r="AI55" s="105">
        <f>+AC55+AE55+AG55+AH55</f>
        <v/>
      </c>
      <c r="AJ55" s="105">
        <f>+AA55-AI55</f>
        <v/>
      </c>
      <c r="AK55" s="21">
        <f>IF(Q55="ANULADA","N/A",IF(ABS(AJ55)&gt;10,"Pendiente",IF(MAX(AB55,AD55,AF55)=0,"Pendiente",MAX(0,MAX(AB55,AD55,AF55)-O55))))</f>
        <v/>
      </c>
    </row>
    <row r="56" hidden="1" ht="15" customHeight="1">
      <c r="A56" s="22" t="inlineStr">
        <is>
          <t>00-175</t>
        </is>
      </c>
      <c r="B56" s="22" t="inlineStr">
        <is>
          <t>NUEVA MARINAS DE HUDSON INVERSORA SA</t>
        </is>
      </c>
      <c r="C56" s="22" t="inlineStr">
        <is>
          <t>Laguna 4 - Puerto Nizuc</t>
        </is>
      </c>
      <c r="D56" s="13" t="inlineStr">
        <is>
          <t>Laguna 4</t>
        </is>
      </c>
      <c r="E56" s="13" t="n">
        <v>11</v>
      </c>
      <c r="F56" s="13" t="inlineStr">
        <is>
          <t>Basico</t>
        </is>
      </c>
      <c r="G56" s="13" t="inlineStr">
        <is>
          <t>Básico</t>
        </is>
      </c>
      <c r="H56" s="30" t="n">
        <v>46082</v>
      </c>
      <c r="I56" s="104" t="n"/>
      <c r="J56" s="105" t="n">
        <v>33135157.54</v>
      </c>
      <c r="K56" s="105" t="n">
        <v>33135157.54</v>
      </c>
      <c r="L56" s="13" t="inlineStr">
        <is>
          <t>Validado</t>
        </is>
      </c>
      <c r="M56" s="22" t="inlineStr">
        <is>
          <t>FC A</t>
        </is>
      </c>
      <c r="N56" s="24" t="n">
        <v>2602</v>
      </c>
      <c r="O56" s="106" t="n">
        <v>46132</v>
      </c>
      <c r="P56" s="22" t="inlineStr">
        <is>
          <t>Certificado Nº 11 - Mar'26..</t>
        </is>
      </c>
      <c r="Q56" s="22" t="inlineStr">
        <is>
          <t>NO</t>
        </is>
      </c>
      <c r="R56" s="22" t="inlineStr">
        <is>
          <t>N/A</t>
        </is>
      </c>
      <c r="S56" s="105">
        <f>+J56</f>
        <v/>
      </c>
      <c r="T56" s="105" t="n"/>
      <c r="U56" s="105">
        <f>+S56*21%</f>
        <v/>
      </c>
      <c r="V56" s="105">
        <f>+S56*3%</f>
        <v/>
      </c>
      <c r="W56" s="105">
        <f>+S56*0.3%</f>
        <v/>
      </c>
      <c r="X56" s="105">
        <f>IF(A56="00-175",S56*0.06,0)</f>
        <v/>
      </c>
      <c r="Y56" s="105" t="n"/>
      <c r="Z56" s="105" t="n"/>
      <c r="AA56" s="105">
        <f>+S56+T56+U56+W56+X56+V56+Y56</f>
        <v/>
      </c>
      <c r="AB56" s="107" t="n">
        <v>46141</v>
      </c>
      <c r="AC56" s="105" t="n">
        <v>43175110.27</v>
      </c>
      <c r="AD56" s="22" t="n"/>
      <c r="AE56" s="105" t="n"/>
      <c r="AF56" s="22" t="n"/>
      <c r="AG56" s="105" t="n"/>
      <c r="AH56" s="105" t="n"/>
      <c r="AI56" s="105">
        <f>+AC56+AE56+AG56+AH56</f>
        <v/>
      </c>
      <c r="AJ56" s="105">
        <f>+AA56-AI56</f>
        <v/>
      </c>
      <c r="AK56" s="21">
        <f>IF(Q56="ANULADA","N/A",IF(ABS(AJ56)&gt;10,"Pendiente",IF(MAX(AB56,AD56,AF56)=0,"Pendiente",MAX(0,MAX(AB56,AD56,AF56)-O56))))</f>
        <v/>
      </c>
    </row>
    <row r="57" hidden="1" ht="15" customHeight="1">
      <c r="A57" s="22" t="inlineStr">
        <is>
          <t>00-175</t>
        </is>
      </c>
      <c r="B57" s="22" t="inlineStr">
        <is>
          <t>NUEVA MARINAS DE HUDSON INVERSORA SA</t>
        </is>
      </c>
      <c r="C57" s="22" t="inlineStr">
        <is>
          <t>Laguna 4 - Puerto Nizuc</t>
        </is>
      </c>
      <c r="D57" s="13" t="inlineStr">
        <is>
          <t>Laguna 4</t>
        </is>
      </c>
      <c r="E57" s="13" t="n">
        <v>11</v>
      </c>
      <c r="F57" s="13" t="inlineStr">
        <is>
          <t>Redet</t>
        </is>
      </c>
      <c r="G57" s="13" t="inlineStr">
        <is>
          <t>Redet.</t>
        </is>
      </c>
      <c r="H57" s="30" t="n">
        <v>46082</v>
      </c>
      <c r="I57" s="104" t="n"/>
      <c r="J57" s="105" t="n">
        <v>8473458.560000001</v>
      </c>
      <c r="K57" s="105" t="n">
        <v>8473458.560000001</v>
      </c>
      <c r="L57" s="13" t="inlineStr">
        <is>
          <t>Validado</t>
        </is>
      </c>
      <c r="M57" s="22" t="inlineStr">
        <is>
          <t>FC A</t>
        </is>
      </c>
      <c r="N57" s="24" t="n">
        <v>2603</v>
      </c>
      <c r="O57" s="106" t="n">
        <v>46132</v>
      </c>
      <c r="P57" s="22" t="inlineStr">
        <is>
          <t>Redeterminación Provisoria Nº 11 - Mar'26 y Redeterminación Definitiva Nº 10 - Feb'26.</t>
        </is>
      </c>
      <c r="Q57" s="22" t="inlineStr">
        <is>
          <t>NO</t>
        </is>
      </c>
      <c r="R57" s="22" t="inlineStr">
        <is>
          <t>N/A</t>
        </is>
      </c>
      <c r="S57" s="105">
        <f>+J57</f>
        <v/>
      </c>
      <c r="T57" s="105" t="n"/>
      <c r="U57" s="105">
        <f>+S57*21%</f>
        <v/>
      </c>
      <c r="V57" s="105">
        <f>+S57*3%</f>
        <v/>
      </c>
      <c r="W57" s="105">
        <f>+S57*0.3%</f>
        <v/>
      </c>
      <c r="X57" s="105">
        <f>IF(A57="00-175",S57*0.06,0)</f>
        <v/>
      </c>
      <c r="Y57" s="105" t="n"/>
      <c r="Z57" s="105" t="n"/>
      <c r="AA57" s="105">
        <f>+S57+T57+U57+W57+X57+V57+Y57</f>
        <v/>
      </c>
      <c r="AB57" s="107" t="n">
        <v>46141</v>
      </c>
      <c r="AC57" s="105" t="n">
        <v>11040671.03</v>
      </c>
      <c r="AD57" s="22" t="n"/>
      <c r="AE57" s="105" t="n"/>
      <c r="AF57" s="22" t="n"/>
      <c r="AG57" s="105" t="n"/>
      <c r="AH57" s="105" t="n"/>
      <c r="AI57" s="105">
        <f>+AC57+AE57+AG57+AH57</f>
        <v/>
      </c>
      <c r="AJ57" s="105">
        <f>+AA57-AI57</f>
        <v/>
      </c>
      <c r="AK57" s="21">
        <f>IF(Q57="ANULADA","N/A",IF(ABS(AJ57)&gt;10,"Pendiente",IF(MAX(AB57,AD57,AF57)=0,"Pendiente",MAX(0,MAX(AB57,AD57,AF57)-O57))))</f>
        <v/>
      </c>
    </row>
    <row r="58" hidden="1" ht="15" customHeight="1">
      <c r="A58" s="22" t="inlineStr">
        <is>
          <t>00-175</t>
        </is>
      </c>
      <c r="B58" s="22" t="inlineStr">
        <is>
          <t>NUEVA MARINAS DE HUDSON INVERSORA SA</t>
        </is>
      </c>
      <c r="C58" s="22" t="inlineStr">
        <is>
          <t>Laguna 4 - Puerto Nizuc</t>
        </is>
      </c>
      <c r="D58" s="13" t="inlineStr">
        <is>
          <t>Laguna 4</t>
        </is>
      </c>
      <c r="E58" s="13" t="n">
        <v>12</v>
      </c>
      <c r="F58" s="13" t="inlineStr">
        <is>
          <t>Basico</t>
        </is>
      </c>
      <c r="G58" s="13" t="inlineStr">
        <is>
          <t>Basico</t>
        </is>
      </c>
      <c r="H58" s="30" t="n">
        <v>46113</v>
      </c>
      <c r="I58" s="104" t="n"/>
      <c r="J58" s="105" t="n">
        <v>22282672.13</v>
      </c>
      <c r="K58" s="105" t="n">
        <v>22282672.13</v>
      </c>
      <c r="L58" s="13" t="inlineStr">
        <is>
          <t>Validado</t>
        </is>
      </c>
      <c r="M58" s="22" t="inlineStr">
        <is>
          <t>FC A</t>
        </is>
      </c>
      <c r="N58" s="24" t="n">
        <v>2626</v>
      </c>
      <c r="O58" s="106" t="n">
        <v>46178</v>
      </c>
      <c r="P58" s="22" t="inlineStr">
        <is>
          <t>Certificado Nº 12 - Abr'26.</t>
        </is>
      </c>
      <c r="Q58" s="22" t="inlineStr">
        <is>
          <t>NO</t>
        </is>
      </c>
      <c r="R58" s="22" t="inlineStr">
        <is>
          <t>N/A</t>
        </is>
      </c>
      <c r="S58" s="105">
        <f>+K58</f>
        <v/>
      </c>
      <c r="T58" s="105" t="n"/>
      <c r="U58" s="105">
        <f>+S58*21%</f>
        <v/>
      </c>
      <c r="V58" s="105">
        <f>+S58*3%</f>
        <v/>
      </c>
      <c r="W58" s="105">
        <f>+S58*0.3%</f>
        <v/>
      </c>
      <c r="X58" s="105">
        <f>IF(A58="00-175",S58*0.06,0)</f>
        <v/>
      </c>
      <c r="Y58" s="105" t="n"/>
      <c r="Z58" s="105" t="n"/>
      <c r="AA58" s="105">
        <f>+S58+T58+U58+W58+X58+V58+Y58</f>
        <v/>
      </c>
      <c r="AB58" s="22" t="n"/>
      <c r="AC58" s="105" t="n"/>
      <c r="AD58" s="22" t="n"/>
      <c r="AE58" s="105" t="n"/>
      <c r="AF58" s="22" t="n"/>
      <c r="AG58" s="105" t="n"/>
      <c r="AH58" s="105" t="n"/>
      <c r="AI58" s="105">
        <f>+AC58+AE58+AG58+AH58</f>
        <v/>
      </c>
      <c r="AJ58" s="105">
        <f>+AA58-AI58</f>
        <v/>
      </c>
      <c r="AK58" s="21">
        <f>IF(Q58="ANULADA","N/A",IF(ABS(AJ58)&gt;10,"Pendiente",IF(MAX(AB58,AD58,AF58)=0,"Pendiente",MAX(0,MAX(AB58,AD58,AF58)-O58))))</f>
        <v/>
      </c>
    </row>
    <row r="59" hidden="1" ht="15" customHeight="1">
      <c r="A59" s="22" t="inlineStr">
        <is>
          <t>00-175</t>
        </is>
      </c>
      <c r="B59" s="22" t="inlineStr">
        <is>
          <t>NUEVA MARINAS DE HUDSON INVERSORA SA</t>
        </is>
      </c>
      <c r="C59" s="22" t="inlineStr">
        <is>
          <t>Laguna 4 - Puerto Nizuc</t>
        </is>
      </c>
      <c r="D59" s="13" t="inlineStr">
        <is>
          <t>Laguna 4</t>
        </is>
      </c>
      <c r="E59" s="13" t="n">
        <v>12</v>
      </c>
      <c r="F59" s="13" t="inlineStr">
        <is>
          <t>Redet</t>
        </is>
      </c>
      <c r="G59" s="13" t="inlineStr">
        <is>
          <t>Redet.</t>
        </is>
      </c>
      <c r="H59" s="30" t="n">
        <v>46113</v>
      </c>
      <c r="I59" s="104" t="n"/>
      <c r="J59" s="105" t="n">
        <v>6813690.37</v>
      </c>
      <c r="K59" s="105" t="n">
        <v>6813690.37</v>
      </c>
      <c r="L59" s="13" t="inlineStr">
        <is>
          <t>Validado</t>
        </is>
      </c>
      <c r="M59" s="22" t="inlineStr">
        <is>
          <t>FC A</t>
        </is>
      </c>
      <c r="N59" s="24" t="n">
        <v>2627</v>
      </c>
      <c r="O59" s="106" t="n">
        <v>46178</v>
      </c>
      <c r="P59" s="22" t="inlineStr">
        <is>
          <t>Certificado de Redeterminación Provisoria Nº 12 - Abr'26 + Certificado de Redeterminación Definitiva Nº 11 - Mar'26</t>
        </is>
      </c>
      <c r="Q59" s="22" t="inlineStr">
        <is>
          <t>NO</t>
        </is>
      </c>
      <c r="R59" s="22" t="inlineStr">
        <is>
          <t>N/A</t>
        </is>
      </c>
      <c r="S59" s="105">
        <f>+K59</f>
        <v/>
      </c>
      <c r="T59" s="105" t="n"/>
      <c r="U59" s="105">
        <f>+S59*21%</f>
        <v/>
      </c>
      <c r="V59" s="105">
        <f>+S59*3%</f>
        <v/>
      </c>
      <c r="W59" s="105">
        <f>+S59*0.3%</f>
        <v/>
      </c>
      <c r="X59" s="105">
        <f>IF(A59="00-175",S59*0.06,0)</f>
        <v/>
      </c>
      <c r="Y59" s="105" t="n"/>
      <c r="Z59" s="105" t="n"/>
      <c r="AA59" s="105">
        <f>+S59+T59+U59+W59+X59+V59+Y59</f>
        <v/>
      </c>
      <c r="AB59" s="22" t="n"/>
      <c r="AC59" s="105" t="n"/>
      <c r="AD59" s="22" t="n"/>
      <c r="AE59" s="105" t="n"/>
      <c r="AF59" s="22" t="n"/>
      <c r="AG59" s="105" t="n"/>
      <c r="AH59" s="105" t="n"/>
      <c r="AI59" s="105">
        <f>+AC59+AE59+AG59+AH59</f>
        <v/>
      </c>
      <c r="AJ59" s="105">
        <f>+AA59-AI59</f>
        <v/>
      </c>
      <c r="AK59" s="21">
        <f>IF(Q59="ANULADA","N/A",IF(ABS(AJ59)&gt;10,"Pendiente",IF(MAX(AB59,AD59,AF59)=0,"Pendiente",MAX(0,MAX(AB59,AD59,AF59)-O59))))</f>
        <v/>
      </c>
    </row>
    <row r="60" hidden="1" ht="15" customHeight="1">
      <c r="A60" s="25" t="inlineStr">
        <is>
          <t>00-176a</t>
        </is>
      </c>
      <c r="B60" s="25" t="inlineStr">
        <is>
          <t>FIDEICOMISO MARINAS DEL PLATA</t>
        </is>
      </c>
      <c r="C60" s="25" t="inlineStr">
        <is>
          <t>Asfalto Etapa 2 A - Puerto Nizuc</t>
        </is>
      </c>
      <c r="D60" s="13" t="inlineStr">
        <is>
          <t>Bacheo de emergencia</t>
        </is>
      </c>
      <c r="E60" s="13" t="n">
        <v>1</v>
      </c>
      <c r="F60" s="13" t="inlineStr">
        <is>
          <t>Basico Bacheo</t>
        </is>
      </c>
      <c r="G60" s="13" t="inlineStr">
        <is>
          <t>Básico</t>
        </is>
      </c>
      <c r="H60" s="30" t="n">
        <v>45870</v>
      </c>
      <c r="I60" s="104" t="n"/>
      <c r="J60" s="108" t="n">
        <v>56684269.3</v>
      </c>
      <c r="K60" s="108" t="n">
        <v>56684269.3</v>
      </c>
      <c r="L60" s="13" t="inlineStr">
        <is>
          <t>Validado</t>
        </is>
      </c>
      <c r="M60" s="25" t="inlineStr">
        <is>
          <t>FC A</t>
        </is>
      </c>
      <c r="N60" s="27" t="n">
        <v>2515</v>
      </c>
      <c r="O60" s="106" t="n">
        <v>45925</v>
      </c>
      <c r="P60" s="25" t="inlineStr">
        <is>
          <t>Certificado Básico Nº1 Bacheo de Emergencia - Ago'25. - Asfalto Etapa 2 A - Puerto Nizuc (00176)</t>
        </is>
      </c>
      <c r="Q60" s="25" t="inlineStr">
        <is>
          <t>NO</t>
        </is>
      </c>
      <c r="R60" s="25" t="inlineStr">
        <is>
          <t>N/A</t>
        </is>
      </c>
      <c r="S60" s="105">
        <f>+J60</f>
        <v/>
      </c>
      <c r="T60" s="108" t="n"/>
      <c r="U60" s="108">
        <f>+S60*21%</f>
        <v/>
      </c>
      <c r="V60" s="108">
        <f>+S60*3%</f>
        <v/>
      </c>
      <c r="W60" s="108">
        <f>+S60*2.5%</f>
        <v/>
      </c>
      <c r="X60" s="108">
        <f>IF(A60="00-175",S60*0.06,0)</f>
        <v/>
      </c>
      <c r="Y60" s="108" t="n"/>
      <c r="Z60" s="108" t="n"/>
      <c r="AA60" s="108">
        <f>+S60+T60+U60+W60+X60+V60+Y60</f>
        <v/>
      </c>
      <c r="AB60" s="109" t="n">
        <v>45939</v>
      </c>
      <c r="AC60" s="108" t="n">
        <v>7258769.23</v>
      </c>
      <c r="AD60" s="113" t="n">
        <v>45958</v>
      </c>
      <c r="AE60" s="108" t="n">
        <v>64441927</v>
      </c>
      <c r="AF60" s="113" t="n">
        <v>45988</v>
      </c>
      <c r="AG60" s="108" t="n">
        <v>4904.43</v>
      </c>
      <c r="AH60" s="108" t="n"/>
      <c r="AI60" s="105">
        <f>+AC60+AE60+AG60+AH60</f>
        <v/>
      </c>
      <c r="AJ60" s="105">
        <f>+AA60-AI60</f>
        <v/>
      </c>
      <c r="AK60" s="21">
        <f>IF(Q60="ANULADA","N/A",IF(ABS(AJ60)&gt;10,"Pendiente",IF(MAX(AB60,AD60,AF60)=0,"Pendiente",MAX(0,MAX(AB60,AD60,AF60)-O60))))</f>
        <v/>
      </c>
    </row>
    <row r="61" hidden="1" ht="15" customHeight="1">
      <c r="A61" s="25" t="inlineStr">
        <is>
          <t>00-176a</t>
        </is>
      </c>
      <c r="B61" s="25" t="inlineStr">
        <is>
          <t>FIDEICOMISO MARINAS DEL PLATA</t>
        </is>
      </c>
      <c r="C61" s="25" t="inlineStr">
        <is>
          <t>Asfalto Etapa 2 A - Puerto Nizuc</t>
        </is>
      </c>
      <c r="D61" s="13" t="inlineStr">
        <is>
          <t>Bacheo de emergencia</t>
        </is>
      </c>
      <c r="E61" s="13" t="n">
        <v>2</v>
      </c>
      <c r="F61" s="13" t="inlineStr">
        <is>
          <t>Basico Bacheo</t>
        </is>
      </c>
      <c r="G61" s="13" t="inlineStr">
        <is>
          <t>Básico</t>
        </is>
      </c>
      <c r="H61" s="30" t="n">
        <v>45901</v>
      </c>
      <c r="I61" s="104" t="n"/>
      <c r="J61" s="108" t="n">
        <v>8659893.529999999</v>
      </c>
      <c r="K61" s="108" t="n">
        <v>8659893.529999999</v>
      </c>
      <c r="L61" s="13" t="inlineStr">
        <is>
          <t>Validado</t>
        </is>
      </c>
      <c r="M61" s="25" t="inlineStr">
        <is>
          <t>FC A</t>
        </is>
      </c>
      <c r="N61" s="27" t="n">
        <v>2542</v>
      </c>
      <c r="O61" s="106" t="n">
        <v>45953</v>
      </c>
      <c r="P61" s="25" t="inlineStr">
        <is>
          <t>Certificado Básico Nº 2 Bacheo de Emergencia - Sep'25. - Asfalto Etapa 2 A - Puerto Nizuc (00176)</t>
        </is>
      </c>
      <c r="Q61" s="25" t="inlineStr">
        <is>
          <t>NO</t>
        </is>
      </c>
      <c r="R61" s="25" t="inlineStr">
        <is>
          <t>N/A</t>
        </is>
      </c>
      <c r="S61" s="105">
        <f>+J61</f>
        <v/>
      </c>
      <c r="T61" s="108" t="n"/>
      <c r="U61" s="108">
        <f>+S61*21%</f>
        <v/>
      </c>
      <c r="V61" s="108">
        <f>+S61*3%</f>
        <v/>
      </c>
      <c r="W61" s="108">
        <f>+S61*2.5%</f>
        <v/>
      </c>
      <c r="X61" s="108">
        <f>IF(A61="00-175",S61*0.06,0)</f>
        <v/>
      </c>
      <c r="Y61" s="108" t="n"/>
      <c r="Z61" s="108" t="n"/>
      <c r="AA61" s="108">
        <f>+S61+T61+U61+W61+X61+V61+Y61</f>
        <v/>
      </c>
      <c r="AB61" s="109" t="n">
        <v>45988</v>
      </c>
      <c r="AC61" s="108" t="n">
        <v>10954765.32</v>
      </c>
      <c r="AD61" s="20" t="n"/>
      <c r="AE61" s="105" t="n"/>
      <c r="AF61" s="25" t="n"/>
      <c r="AG61" s="105" t="n"/>
      <c r="AH61" s="105" t="n"/>
      <c r="AI61" s="105">
        <f>+AC61+AE61+AG61+AH61</f>
        <v/>
      </c>
      <c r="AJ61" s="105">
        <f>+AA61-AI61</f>
        <v/>
      </c>
      <c r="AK61" s="21">
        <f>IF(Q61="ANULADA","N/A",IF(ABS(AJ61)&gt;10,"Pendiente",IF(MAX(AB61,AD61,AF61)=0,"Pendiente",MAX(0,MAX(AB61,AD61,AF61)-O61))))</f>
        <v/>
      </c>
    </row>
    <row r="62" hidden="1" ht="15" customHeight="1">
      <c r="A62" s="25" t="inlineStr">
        <is>
          <t>00-176a</t>
        </is>
      </c>
      <c r="B62" s="25" t="inlineStr">
        <is>
          <t>FIDEICOMISO MARINAS DEL PLATA</t>
        </is>
      </c>
      <c r="C62" s="25" t="inlineStr">
        <is>
          <t>Asfalto Etapa 2 A - Puerto Nizuc</t>
        </is>
      </c>
      <c r="D62" s="13" t="inlineStr">
        <is>
          <t>Bacheo de emergencia</t>
        </is>
      </c>
      <c r="E62" s="13" t="n">
        <v>2</v>
      </c>
      <c r="F62" s="13" t="inlineStr">
        <is>
          <t>Redet Bacheo</t>
        </is>
      </c>
      <c r="G62" s="13" t="inlineStr">
        <is>
          <t>Redet.</t>
        </is>
      </c>
      <c r="H62" s="30" t="n">
        <v>45901</v>
      </c>
      <c r="I62" s="104" t="n"/>
      <c r="J62" s="108" t="n">
        <v>954024.77</v>
      </c>
      <c r="K62" s="108" t="n">
        <v>954024.77</v>
      </c>
      <c r="L62" s="13" t="inlineStr">
        <is>
          <t>Validado</t>
        </is>
      </c>
      <c r="M62" s="25" t="inlineStr">
        <is>
          <t>FC A</t>
        </is>
      </c>
      <c r="N62" s="27" t="n">
        <v>2543</v>
      </c>
      <c r="O62" s="106" t="n">
        <v>45953</v>
      </c>
      <c r="P62" s="25" t="inlineStr">
        <is>
          <t>Certificado de Redeterminación Provisorio Nº 2 - Sep'25. - Asfalto Etapa 2 A - Puerto Nizuc (00176)</t>
        </is>
      </c>
      <c r="Q62" s="25" t="inlineStr">
        <is>
          <t>NO</t>
        </is>
      </c>
      <c r="R62" s="25" t="inlineStr">
        <is>
          <t>N/A</t>
        </is>
      </c>
      <c r="S62" s="105">
        <f>+J62</f>
        <v/>
      </c>
      <c r="T62" s="108" t="n"/>
      <c r="U62" s="108">
        <f>+S62*21%</f>
        <v/>
      </c>
      <c r="V62" s="108">
        <f>+S62*3%</f>
        <v/>
      </c>
      <c r="W62" s="108">
        <f>+S62*2.5%</f>
        <v/>
      </c>
      <c r="X62" s="108">
        <f>IF(A62="00-175",S62*0.06,0)</f>
        <v/>
      </c>
      <c r="Y62" s="108" t="n"/>
      <c r="Z62" s="108" t="n"/>
      <c r="AA62" s="108">
        <f>+S62+T62+U62+W62+X62+V62+Y62</f>
        <v/>
      </c>
      <c r="AB62" s="109" t="n">
        <v>45988</v>
      </c>
      <c r="AC62" s="108" t="n">
        <v>1206841.34</v>
      </c>
      <c r="AD62" s="20" t="n"/>
      <c r="AE62" s="105" t="n"/>
      <c r="AF62" s="25" t="n"/>
      <c r="AG62" s="105" t="n"/>
      <c r="AH62" s="105" t="n"/>
      <c r="AI62" s="105">
        <f>+AC62+AE62+AG62+AH62</f>
        <v/>
      </c>
      <c r="AJ62" s="105">
        <f>+AA62-AI62</f>
        <v/>
      </c>
      <c r="AK62" s="21">
        <f>IF(Q62="ANULADA","N/A",IF(ABS(AJ62)&gt;10,"Pendiente",IF(MAX(AB62,AD62,AF62)=0,"Pendiente",MAX(0,MAX(AB62,AD62,AF62)-O62))))</f>
        <v/>
      </c>
    </row>
    <row r="63" hidden="1" ht="15" customHeight="1">
      <c r="A63" s="25" t="inlineStr">
        <is>
          <t>00-176b</t>
        </is>
      </c>
      <c r="B63" s="25" t="inlineStr">
        <is>
          <t>FIDEICOMISO MARINAS DEL PLATA</t>
        </is>
      </c>
      <c r="C63" s="25" t="inlineStr">
        <is>
          <t>Asfalto Etapa 2 A - Puerto Nizuc</t>
        </is>
      </c>
      <c r="D63" s="13" t="inlineStr">
        <is>
          <t>Obras sector 2 A</t>
        </is>
      </c>
      <c r="E63" s="13" t="n">
        <v>1</v>
      </c>
      <c r="F63" s="13" t="inlineStr">
        <is>
          <t>Basico Obras 2a</t>
        </is>
      </c>
      <c r="G63" s="13" t="inlineStr">
        <is>
          <t>Básico</t>
        </is>
      </c>
      <c r="H63" s="30" t="n">
        <v>45901</v>
      </c>
      <c r="I63" s="104" t="n"/>
      <c r="J63" s="108" t="n">
        <v>130749094</v>
      </c>
      <c r="K63" s="108" t="n">
        <v>130749094</v>
      </c>
      <c r="L63" s="13" t="inlineStr">
        <is>
          <t>Validado</t>
        </is>
      </c>
      <c r="M63" s="25" t="inlineStr">
        <is>
          <t>FC A</t>
        </is>
      </c>
      <c r="N63" s="27" t="n">
        <v>2544</v>
      </c>
      <c r="O63" s="106" t="n">
        <v>45954</v>
      </c>
      <c r="P63" s="25" t="inlineStr">
        <is>
          <t>Certificado Básico Nº 1 - Sep'25. (Corresponde a U$D 93.392,21.- Tipo de Cambio 30/09/2025 = 1.400 $/U$D). - Asfalto Etapa 2 A - Puerto Nizuc (00176)</t>
        </is>
      </c>
      <c r="Q63" s="25" t="inlineStr">
        <is>
          <t>NO</t>
        </is>
      </c>
      <c r="R63" s="25" t="inlineStr">
        <is>
          <t>N/A</t>
        </is>
      </c>
      <c r="S63" s="105">
        <f>+J63</f>
        <v/>
      </c>
      <c r="T63" s="108" t="n"/>
      <c r="U63" s="108">
        <f>+S63*21%</f>
        <v/>
      </c>
      <c r="V63" s="108">
        <f>+S63*3%</f>
        <v/>
      </c>
      <c r="W63" s="108">
        <f>+S63*2.5%</f>
        <v/>
      </c>
      <c r="X63" s="108">
        <f>IF(A63="00-175",S63*0.06,0)</f>
        <v/>
      </c>
      <c r="Y63" s="108" t="n"/>
      <c r="Z63" s="108" t="n"/>
      <c r="AA63" s="108">
        <f>+S63+T63+U63+W63+X63+V63+Y63</f>
        <v/>
      </c>
      <c r="AB63" s="109" t="n">
        <v>45988</v>
      </c>
      <c r="AC63" s="108" t="n">
        <v>136758805.27</v>
      </c>
      <c r="AD63" s="113" t="n">
        <v>46064</v>
      </c>
      <c r="AE63" s="108" t="n">
        <v>28638798.64</v>
      </c>
      <c r="AF63" s="25" t="n"/>
      <c r="AG63" s="105" t="n"/>
      <c r="AH63" s="105" t="n"/>
      <c r="AI63" s="105">
        <f>+AC63+AE63+AG63+AH63</f>
        <v/>
      </c>
      <c r="AJ63" s="105">
        <f>+AA63-AI63</f>
        <v/>
      </c>
      <c r="AK63" s="21">
        <f>IF(Q63="ANULADA","N/A",IF(ABS(AJ63)&gt;10,"Pendiente",IF(MAX(AB63,AD63,AF63)=0,"Pendiente",MAX(0,MAX(AB63,AD63,AF63)-O63))))</f>
        <v/>
      </c>
    </row>
    <row r="64" hidden="1" ht="15" customHeight="1">
      <c r="A64" s="25" t="inlineStr">
        <is>
          <t>00-176b</t>
        </is>
      </c>
      <c r="B64" s="25" t="inlineStr">
        <is>
          <t>FIDEICOMISO MARINAS DEL PLATA</t>
        </is>
      </c>
      <c r="C64" s="12" t="inlineStr">
        <is>
          <t>Asfalto Etapa 2 A - Puerto Nizuc</t>
        </is>
      </c>
      <c r="D64" s="13" t="inlineStr">
        <is>
          <t>Obras sector 2 A</t>
        </is>
      </c>
      <c r="E64" s="13" t="n">
        <v>2</v>
      </c>
      <c r="F64" s="13" t="inlineStr">
        <is>
          <t>Basico Obras 2a</t>
        </is>
      </c>
      <c r="G64" s="13" t="inlineStr">
        <is>
          <t>Básico</t>
        </is>
      </c>
      <c r="H64" s="30" t="n">
        <v>45931</v>
      </c>
      <c r="I64" s="104" t="n"/>
      <c r="J64" s="105" t="n">
        <v>399759795.25</v>
      </c>
      <c r="K64" s="105" t="n">
        <v>399759795.25</v>
      </c>
      <c r="L64" s="13" t="inlineStr">
        <is>
          <t>Validado</t>
        </is>
      </c>
      <c r="M64" s="12" t="inlineStr">
        <is>
          <t>FC A</t>
        </is>
      </c>
      <c r="N64" s="16" t="n">
        <v>2562</v>
      </c>
      <c r="O64" s="106" t="n">
        <v>46031</v>
      </c>
      <c r="P64" s="12" t="inlineStr">
        <is>
          <t>Certificado Básico Nº 2 - Oct'25. (Corresponde a U$D 271.023,59.- Tipo de Cambio 31/10/2025 = 1.475,00.- $/U$D) - Asfalt</t>
        </is>
      </c>
      <c r="Q64" s="18" t="inlineStr">
        <is>
          <t>NO</t>
        </is>
      </c>
      <c r="R64" s="18" t="inlineStr">
        <is>
          <t>N/A</t>
        </is>
      </c>
      <c r="S64" s="105">
        <f>+J64</f>
        <v/>
      </c>
      <c r="T64" s="105" t="n"/>
      <c r="U64" s="105">
        <f>+S64*21%</f>
        <v/>
      </c>
      <c r="V64" s="105">
        <f>+S64*3%</f>
        <v/>
      </c>
      <c r="W64" s="105">
        <f>+S64*2.5%</f>
        <v/>
      </c>
      <c r="X64" s="105">
        <f>IF(A64="00-175",S64*0.06,0)</f>
        <v/>
      </c>
      <c r="Y64" s="105" t="n"/>
      <c r="Z64" s="105" t="n"/>
      <c r="AA64" s="105">
        <f>+S64+T64+U64+W64+X64+V64+Y64</f>
        <v/>
      </c>
      <c r="AB64" s="107" t="n">
        <v>46057</v>
      </c>
      <c r="AC64" s="105" t="n">
        <v>505696140.99</v>
      </c>
      <c r="AD64" s="20" t="n"/>
      <c r="AE64" s="105" t="n"/>
      <c r="AF64" s="12" t="n"/>
      <c r="AG64" s="105" t="n"/>
      <c r="AH64" s="105" t="n"/>
      <c r="AI64" s="105">
        <f>+AC64+AE64+AG64+AH64</f>
        <v/>
      </c>
      <c r="AJ64" s="105">
        <f>+AA64-AI64</f>
        <v/>
      </c>
      <c r="AK64" s="21">
        <f>IF(Q64="ANULADA","N/A",IF(ABS(AJ64)&gt;10,"Pendiente",IF(MAX(AB64,AD64,AF64)=0,"Pendiente",MAX(0,MAX(AB64,AD64,AF64)-O64))))</f>
        <v/>
      </c>
    </row>
    <row r="65" hidden="1" ht="15" customHeight="1">
      <c r="A65" s="25" t="inlineStr">
        <is>
          <t>00-176b</t>
        </is>
      </c>
      <c r="B65" s="25" t="inlineStr">
        <is>
          <t>FIDEICOMISO MARINAS DEL PLATA</t>
        </is>
      </c>
      <c r="C65" s="12" t="inlineStr">
        <is>
          <t>Asfalto Etapa 2 A - Puerto Nizuc</t>
        </is>
      </c>
      <c r="D65" s="13" t="inlineStr">
        <is>
          <t>SAPECO  2A</t>
        </is>
      </c>
      <c r="E65" s="13" t="n">
        <v>2</v>
      </c>
      <c r="F65" s="13" t="inlineStr">
        <is>
          <t>Redet Obras 2a</t>
        </is>
      </c>
      <c r="G65" s="13" t="inlineStr">
        <is>
          <t>Redet.</t>
        </is>
      </c>
      <c r="H65" s="30" t="n">
        <v>45931</v>
      </c>
      <c r="I65" s="104" t="n"/>
      <c r="J65" s="105" t="n">
        <v>47382370.84</v>
      </c>
      <c r="K65" s="105" t="n">
        <v>47382370.84</v>
      </c>
      <c r="L65" s="13" t="inlineStr">
        <is>
          <t>Validado</t>
        </is>
      </c>
      <c r="M65" s="12" t="inlineStr">
        <is>
          <t>FC A</t>
        </is>
      </c>
      <c r="N65" s="16" t="n">
        <v>2563</v>
      </c>
      <c r="O65" s="106" t="n">
        <v>46031</v>
      </c>
      <c r="P65" s="12" t="inlineStr">
        <is>
          <t>Certificado Básico Nº 1 - Oct'25. Dirección de Obra a subcontrato SAPECO. - Asfalto Etapa 2 A - Puerto Nizuc (00176)</t>
        </is>
      </c>
      <c r="Q65" s="18" t="inlineStr">
        <is>
          <t>NO</t>
        </is>
      </c>
      <c r="R65" s="18" t="inlineStr">
        <is>
          <t>N/A</t>
        </is>
      </c>
      <c r="S65" s="105">
        <f>+J65</f>
        <v/>
      </c>
      <c r="T65" s="105" t="n"/>
      <c r="U65" s="105">
        <f>+S65*21%</f>
        <v/>
      </c>
      <c r="V65" s="105">
        <f>+S65*3%</f>
        <v/>
      </c>
      <c r="W65" s="105">
        <f>+S65*2.5%</f>
        <v/>
      </c>
      <c r="X65" s="105">
        <f>IF(A65="00-175",S65*0.06,0)</f>
        <v/>
      </c>
      <c r="Y65" s="105" t="n"/>
      <c r="Z65" s="105" t="n"/>
      <c r="AA65" s="105">
        <f>+S65+T65+U65+W65+X65+V65+Y65</f>
        <v/>
      </c>
      <c r="AB65" s="107" t="n">
        <v>46036</v>
      </c>
      <c r="AC65" s="105" t="n">
        <v>383.62</v>
      </c>
      <c r="AD65" s="107" t="n">
        <v>46057</v>
      </c>
      <c r="AE65" s="105" t="n">
        <v>59938315.49</v>
      </c>
      <c r="AF65" s="12" t="n"/>
      <c r="AG65" s="105" t="n"/>
      <c r="AH65" s="105" t="n"/>
      <c r="AI65" s="105">
        <f>+AC65+AE65+AG65+AH65</f>
        <v/>
      </c>
      <c r="AJ65" s="105">
        <f>+AA65-AI65</f>
        <v/>
      </c>
      <c r="AK65" s="21">
        <f>IF(Q65="ANULADA","N/A",IF(ABS(AJ65)&gt;10,"Pendiente",IF(MAX(AB65,AD65,AF65)=0,"Pendiente",MAX(0,MAX(AB65,AD65,AF65)-O65))))</f>
        <v/>
      </c>
    </row>
    <row r="66" hidden="1" ht="15" customHeight="1">
      <c r="A66" s="25" t="inlineStr">
        <is>
          <t>00-176b</t>
        </is>
      </c>
      <c r="B66" s="25" t="inlineStr">
        <is>
          <t>FIDEICOMISO MARINAS DEL PLATA</t>
        </is>
      </c>
      <c r="C66" s="12" t="inlineStr">
        <is>
          <t>Asfalto Etapa 2 A - Puerto Nizuc</t>
        </is>
      </c>
      <c r="D66" s="13" t="inlineStr">
        <is>
          <t>Obras sector 2 A</t>
        </is>
      </c>
      <c r="E66" s="13" t="n">
        <v>3</v>
      </c>
      <c r="F66" s="13" t="inlineStr">
        <is>
          <t>Basico Obras 2a</t>
        </is>
      </c>
      <c r="G66" s="13" t="inlineStr">
        <is>
          <t>Básico</t>
        </is>
      </c>
      <c r="H66" s="30" t="n">
        <v>45962</v>
      </c>
      <c r="I66" s="104" t="n"/>
      <c r="J66" s="105" t="n">
        <v>381525904.25</v>
      </c>
      <c r="K66" s="105" t="n">
        <v>381525904.25</v>
      </c>
      <c r="L66" s="13" t="inlineStr">
        <is>
          <t>Validado</t>
        </is>
      </c>
      <c r="M66" s="12" t="inlineStr">
        <is>
          <t>FC A</t>
        </is>
      </c>
      <c r="N66" s="16" t="n">
        <v>2564</v>
      </c>
      <c r="O66" s="106" t="n">
        <v>46031</v>
      </c>
      <c r="P66" s="12" t="inlineStr">
        <is>
          <t>Certificado Básico Nº 3 - Nov'25. (Corresponde a U$D 258.661,63.- Tipo de Cambio 28/11/2025 = 1.475,00.- $/U$D) - Asfalt</t>
        </is>
      </c>
      <c r="Q66" s="18" t="inlineStr">
        <is>
          <t>NO</t>
        </is>
      </c>
      <c r="R66" s="18" t="inlineStr">
        <is>
          <t>N/A</t>
        </is>
      </c>
      <c r="S66" s="105">
        <f>+J66</f>
        <v/>
      </c>
      <c r="T66" s="105" t="n"/>
      <c r="U66" s="105">
        <f>+S66*21%</f>
        <v/>
      </c>
      <c r="V66" s="105">
        <f>+S66*3%</f>
        <v/>
      </c>
      <c r="W66" s="105">
        <f>+S66*2.5%</f>
        <v/>
      </c>
      <c r="X66" s="105">
        <f>IF(A66="00-175",S66*0.06,0)</f>
        <v/>
      </c>
      <c r="Y66" s="105" t="n"/>
      <c r="Z66" s="105" t="n"/>
      <c r="AA66" s="105">
        <f>+S66+T66+U66+W66+X66+V66+Y66</f>
        <v/>
      </c>
      <c r="AB66" s="107" t="n">
        <v>46036</v>
      </c>
      <c r="AC66" s="105" t="n">
        <v>403560.31</v>
      </c>
      <c r="AD66" s="113" t="n">
        <v>46079</v>
      </c>
      <c r="AE66" s="105" t="n">
        <v>7568028.23</v>
      </c>
      <c r="AF66" s="114" t="n">
        <v>46064</v>
      </c>
      <c r="AG66" s="105" t="n">
        <v>474658680.34</v>
      </c>
      <c r="AH66" s="105" t="n"/>
      <c r="AI66" s="105">
        <f>+AC66+AE66+AG66+AH66</f>
        <v/>
      </c>
      <c r="AJ66" s="105">
        <f>+AA66-AI66</f>
        <v/>
      </c>
      <c r="AK66" s="21">
        <f>IF(Q66="ANULADA","N/A",IF(ABS(AJ66)&gt;10,"Pendiente",IF(MAX(AB66,AD66,AF66)=0,"Pendiente",MAX(0,MAX(AB66,AD66,AF66)-O66))))</f>
        <v/>
      </c>
    </row>
    <row r="67" hidden="1" ht="15" customHeight="1">
      <c r="A67" s="25" t="inlineStr">
        <is>
          <t>00-176b</t>
        </is>
      </c>
      <c r="B67" s="25" t="inlineStr">
        <is>
          <t>FIDEICOMISO MARINAS DEL PLATA</t>
        </is>
      </c>
      <c r="C67" s="12" t="inlineStr">
        <is>
          <t>Asfalto Etapa 2 A - Puerto Nizuc</t>
        </is>
      </c>
      <c r="D67" s="13" t="inlineStr">
        <is>
          <t>SAPECO  2A</t>
        </is>
      </c>
      <c r="E67" s="13" t="n">
        <v>3</v>
      </c>
      <c r="F67" s="13" t="inlineStr">
        <is>
          <t>Redet Obras 2a</t>
        </is>
      </c>
      <c r="G67" s="13" t="inlineStr">
        <is>
          <t>Redet.</t>
        </is>
      </c>
      <c r="H67" s="30" t="n">
        <v>45962</v>
      </c>
      <c r="I67" s="104" t="n"/>
      <c r="J67" s="105" t="n">
        <v>16337413.3</v>
      </c>
      <c r="K67" s="105" t="n">
        <v>16337413.3</v>
      </c>
      <c r="L67" s="13" t="inlineStr">
        <is>
          <t>Validado</t>
        </is>
      </c>
      <c r="M67" s="12" t="inlineStr">
        <is>
          <t>FC A</t>
        </is>
      </c>
      <c r="N67" s="16" t="n">
        <v>2565</v>
      </c>
      <c r="O67" s="106" t="n">
        <v>46031</v>
      </c>
      <c r="P67" s="12" t="inlineStr">
        <is>
          <t>Certificado Básico Nº 2 - Nov'25. Dirección de Obra a subcontrato SAPECO. - Asfalto Etapa 2 A - Puerto Nizuc (00176)</t>
        </is>
      </c>
      <c r="Q67" s="18" t="inlineStr">
        <is>
          <t>NO</t>
        </is>
      </c>
      <c r="R67" s="18" t="inlineStr">
        <is>
          <t>N/A</t>
        </is>
      </c>
      <c r="S67" s="105">
        <f>+J67</f>
        <v/>
      </c>
      <c r="T67" s="105" t="n"/>
      <c r="U67" s="105">
        <f>+S67*21%</f>
        <v/>
      </c>
      <c r="V67" s="105">
        <f>+S67*3%</f>
        <v/>
      </c>
      <c r="W67" s="105">
        <f>+S67*2.5%</f>
        <v/>
      </c>
      <c r="X67" s="105">
        <f>IF(A67="00-175",S67*0.06,0)</f>
        <v/>
      </c>
      <c r="Y67" s="105" t="n"/>
      <c r="Z67" s="105" t="n"/>
      <c r="AA67" s="105">
        <f>+S67+T67+U67+W67+X67+V67+Y67</f>
        <v/>
      </c>
      <c r="AB67" s="107" t="n">
        <v>46036</v>
      </c>
      <c r="AC67" s="105" t="n">
        <v>20666827.82</v>
      </c>
      <c r="AD67" s="20" t="n"/>
      <c r="AE67" s="105" t="n"/>
      <c r="AF67" s="12" t="n"/>
      <c r="AG67" s="105" t="n"/>
      <c r="AH67" s="105" t="n"/>
      <c r="AI67" s="105">
        <f>+AC67+AE67+AG67+AH67</f>
        <v/>
      </c>
      <c r="AJ67" s="105">
        <f>+AA67-AI67</f>
        <v/>
      </c>
      <c r="AK67" s="21">
        <f>IF(Q67="ANULADA","N/A",IF(ABS(AJ67)&gt;10,"Pendiente",IF(MAX(AB67,AD67,AF67)=0,"Pendiente",MAX(0,MAX(AB67,AD67,AF67)-O67))))</f>
        <v/>
      </c>
    </row>
    <row r="68" hidden="1" ht="15" customHeight="1">
      <c r="A68" s="25" t="inlineStr">
        <is>
          <t>00-176b</t>
        </is>
      </c>
      <c r="B68" s="25" t="inlineStr">
        <is>
          <t>FIDEICOMISO MARINAS DEL PLATA</t>
        </is>
      </c>
      <c r="C68" s="12" t="inlineStr">
        <is>
          <t>Asfalto Etapa 2 A - Puerto Nizuc</t>
        </is>
      </c>
      <c r="D68" s="13" t="inlineStr">
        <is>
          <t>Obras sector 2 A</t>
        </is>
      </c>
      <c r="E68" s="13" t="n">
        <v>4</v>
      </c>
      <c r="F68" s="13" t="inlineStr">
        <is>
          <t>Basico Obras 2a</t>
        </is>
      </c>
      <c r="G68" s="13" t="inlineStr">
        <is>
          <t>Básico</t>
        </is>
      </c>
      <c r="H68" s="30" t="n">
        <v>45992</v>
      </c>
      <c r="I68" s="104" t="n"/>
      <c r="J68" s="105" t="n">
        <v>176329878.8</v>
      </c>
      <c r="K68" s="105" t="n">
        <v>176329878.8</v>
      </c>
      <c r="L68" s="13" t="inlineStr">
        <is>
          <t>Validado</t>
        </is>
      </c>
      <c r="M68" s="12" t="inlineStr">
        <is>
          <t>FC A</t>
        </is>
      </c>
      <c r="N68" s="16" t="n">
        <v>2567</v>
      </c>
      <c r="O68" s="106" t="n">
        <v>46053</v>
      </c>
      <c r="P68" s="12" t="inlineStr">
        <is>
          <t>Certificado Básico Nº 4 - Dic'25. (Corresponde a U$D 119.141,81.- Tipo de Cambio 31/12/2025 = 1.480,00.- $/U$D). - Asfal</t>
        </is>
      </c>
      <c r="Q68" s="18" t="inlineStr">
        <is>
          <t>NO</t>
        </is>
      </c>
      <c r="R68" s="18" t="inlineStr">
        <is>
          <t>N/A</t>
        </is>
      </c>
      <c r="S68" s="105">
        <f>+J68</f>
        <v/>
      </c>
      <c r="T68" s="105" t="n"/>
      <c r="U68" s="105">
        <f>+S68*21%</f>
        <v/>
      </c>
      <c r="V68" s="105">
        <f>+S68*3%</f>
        <v/>
      </c>
      <c r="W68" s="105">
        <f>+S68*2.5%</f>
        <v/>
      </c>
      <c r="X68" s="105">
        <f>IF(A68="00-175",S68*0.06,0)</f>
        <v/>
      </c>
      <c r="Y68" s="105" t="n"/>
      <c r="Z68" s="105" t="n"/>
      <c r="AA68" s="105">
        <f>+S68+T68+U68+W68+X68+V68+Y68</f>
        <v/>
      </c>
      <c r="AB68" s="107" t="n">
        <v>46079</v>
      </c>
      <c r="AC68" s="105" t="n">
        <v>223057296.68</v>
      </c>
      <c r="AD68" s="20" t="n"/>
      <c r="AE68" s="105" t="n"/>
      <c r="AF68" s="12" t="n"/>
      <c r="AG68" s="105" t="n"/>
      <c r="AH68" s="105" t="n"/>
      <c r="AI68" s="105">
        <f>+AC68+AE68+AG68+AH68</f>
        <v/>
      </c>
      <c r="AJ68" s="105">
        <f>+AA68-AI68</f>
        <v/>
      </c>
      <c r="AK68" s="21">
        <f>IF(Q68="ANULADA","N/A",IF(ABS(AJ68)&gt;10,"Pendiente",IF(MAX(AB68,AD68,AF68)=0,"Pendiente",MAX(0,MAX(AB68,AD68,AF68)-O68))))</f>
        <v/>
      </c>
    </row>
    <row r="69" hidden="1" ht="15" customHeight="1">
      <c r="A69" s="25" t="inlineStr">
        <is>
          <t>00-176b</t>
        </is>
      </c>
      <c r="B69" s="25" t="inlineStr">
        <is>
          <t>FIDEICOMISO MARINAS DEL PLATA</t>
        </is>
      </c>
      <c r="C69" s="12" t="inlineStr">
        <is>
          <t>Asfalto Etapa 2 A - Puerto Nizuc</t>
        </is>
      </c>
      <c r="D69" s="13" t="inlineStr">
        <is>
          <t>SAPECO  2A</t>
        </is>
      </c>
      <c r="E69" s="13" t="n">
        <v>4</v>
      </c>
      <c r="F69" s="13" t="inlineStr">
        <is>
          <t>Redet Obras 2a</t>
        </is>
      </c>
      <c r="G69" s="13" t="inlineStr">
        <is>
          <t>Redet.</t>
        </is>
      </c>
      <c r="H69" s="30" t="n">
        <v>45992</v>
      </c>
      <c r="I69" s="104" t="n"/>
      <c r="J69" s="105" t="n">
        <v>7099658.84</v>
      </c>
      <c r="K69" s="105" t="n">
        <v>7099658.84</v>
      </c>
      <c r="L69" s="13" t="inlineStr">
        <is>
          <t>Validado</t>
        </is>
      </c>
      <c r="M69" s="12" t="inlineStr">
        <is>
          <t>FC A</t>
        </is>
      </c>
      <c r="N69" s="16" t="n">
        <v>2568</v>
      </c>
      <c r="O69" s="106" t="n">
        <v>46053</v>
      </c>
      <c r="P69" s="12" t="inlineStr">
        <is>
          <t>Certificado Básico Nº 3 - Dic'25. Dirección de Obra a subcontrato SAPECO. - Asfalto Etapa 2 A - Puerto Nizuc (00176)</t>
        </is>
      </c>
      <c r="Q69" s="18" t="inlineStr">
        <is>
          <t>NO</t>
        </is>
      </c>
      <c r="R69" s="18" t="inlineStr">
        <is>
          <t>N/A</t>
        </is>
      </c>
      <c r="S69" s="105">
        <f>+J69</f>
        <v/>
      </c>
      <c r="T69" s="105" t="n"/>
      <c r="U69" s="105">
        <f>+S69*21%</f>
        <v/>
      </c>
      <c r="V69" s="105">
        <f>+S69*3%</f>
        <v/>
      </c>
      <c r="W69" s="105">
        <f>+S69*2.5%</f>
        <v/>
      </c>
      <c r="X69" s="105">
        <f>IF(A69="00-175",S69*0.06,0)</f>
        <v/>
      </c>
      <c r="Y69" s="105" t="n"/>
      <c r="Z69" s="105" t="n"/>
      <c r="AA69" s="105">
        <f>+S69+T69+U69+W69+X69+V69+Y69</f>
        <v/>
      </c>
      <c r="AB69" s="107" t="n">
        <v>46072</v>
      </c>
      <c r="AC69" s="105" t="n">
        <v>8981068.439999999</v>
      </c>
      <c r="AD69" s="20" t="n"/>
      <c r="AE69" s="105" t="n"/>
      <c r="AF69" s="12" t="n"/>
      <c r="AG69" s="105" t="n"/>
      <c r="AH69" s="105" t="n"/>
      <c r="AI69" s="105">
        <f>+AC69+AE69+AG69+AH69</f>
        <v/>
      </c>
      <c r="AJ69" s="105">
        <f>+AA69-AI69</f>
        <v/>
      </c>
      <c r="AK69" s="21">
        <f>IF(Q69="ANULADA","N/A",IF(ABS(AJ69)&gt;10,"Pendiente",IF(MAX(AB69,AD69,AF69)=0,"Pendiente",MAX(0,MAX(AB69,AD69,AF69)-O69))))</f>
        <v/>
      </c>
    </row>
    <row r="70" hidden="1" ht="15" customHeight="1">
      <c r="A70" s="25" t="inlineStr">
        <is>
          <t>00-176b</t>
        </is>
      </c>
      <c r="B70" s="25" t="inlineStr">
        <is>
          <t>FIDEICOMISO MARINAS DEL PLATA</t>
        </is>
      </c>
      <c r="C70" s="12" t="inlineStr">
        <is>
          <t>Asfalto Etapa 2 A - Puerto Nizuc</t>
        </is>
      </c>
      <c r="D70" s="13" t="inlineStr">
        <is>
          <t>Obras sector 2 A</t>
        </is>
      </c>
      <c r="E70" s="13" t="n">
        <v>5</v>
      </c>
      <c r="F70" s="13" t="inlineStr">
        <is>
          <t>Basico Obras 2a</t>
        </is>
      </c>
      <c r="G70" s="13" t="inlineStr">
        <is>
          <t>Básico</t>
        </is>
      </c>
      <c r="H70" s="30" t="n">
        <v>46023</v>
      </c>
      <c r="I70" s="104" t="n"/>
      <c r="J70" s="105" t="n">
        <v>131335902.2</v>
      </c>
      <c r="K70" s="105" t="n">
        <v>131335902.2</v>
      </c>
      <c r="L70" s="13" t="inlineStr">
        <is>
          <t>Validado</t>
        </is>
      </c>
      <c r="M70" s="12" t="inlineStr">
        <is>
          <t>FC A</t>
        </is>
      </c>
      <c r="N70" s="38" t="n">
        <v>2595</v>
      </c>
      <c r="O70" s="106" t="n">
        <v>46132</v>
      </c>
      <c r="P70" s="12" t="inlineStr">
        <is>
          <t>Certificado Básico Nº 5 - Ene'26. (Corresponde a U$D 89.649,08.- Tipo de Cambio 31/01/2026 = 1.465,00.- $/U$D)</t>
        </is>
      </c>
      <c r="Q70" s="18" t="inlineStr">
        <is>
          <t>NO</t>
        </is>
      </c>
      <c r="R70" s="18" t="inlineStr">
        <is>
          <t>N/A</t>
        </is>
      </c>
      <c r="S70" s="105">
        <f>+J70</f>
        <v/>
      </c>
      <c r="T70" s="105" t="n"/>
      <c r="U70" s="105">
        <f>+S70*21%</f>
        <v/>
      </c>
      <c r="V70" s="105">
        <f>+S70*3%</f>
        <v/>
      </c>
      <c r="W70" s="105">
        <f>+S70*2.5%</f>
        <v/>
      </c>
      <c r="X70" s="105">
        <f>IF(A70="00-175",S70*0.06,0)</f>
        <v/>
      </c>
      <c r="Y70" s="105" t="n"/>
      <c r="Z70" s="105" t="n"/>
      <c r="AA70" s="105">
        <f>+S70+T70+U70+W70+X70+V70+Y70</f>
        <v/>
      </c>
      <c r="AB70" s="106" t="n">
        <v>46141</v>
      </c>
      <c r="AC70" s="105" t="n">
        <v>166139916.29</v>
      </c>
      <c r="AD70" s="20" t="n"/>
      <c r="AE70" s="105" t="n"/>
      <c r="AF70" s="12" t="n"/>
      <c r="AG70" s="105" t="n"/>
      <c r="AH70" s="105" t="n"/>
      <c r="AI70" s="105">
        <f>+AC70+AE70+AG70+AH70</f>
        <v/>
      </c>
      <c r="AJ70" s="105">
        <f>+AA70-AI70</f>
        <v/>
      </c>
      <c r="AK70" s="21">
        <f>IF(Q70="ANULADA","N/A",IF(ABS(AJ70)&gt;10,"Pendiente",IF(MAX(AB70,AD70,AF70)=0,"Pendiente",MAX(0,MAX(AB70,AD70,AF70)-O70))))</f>
        <v/>
      </c>
    </row>
    <row r="71" hidden="1" ht="15" customHeight="1">
      <c r="A71" s="25" t="inlineStr">
        <is>
          <t>00-176b</t>
        </is>
      </c>
      <c r="B71" s="25" t="inlineStr">
        <is>
          <t>FIDEICOMISO MARINAS DEL PLATA</t>
        </is>
      </c>
      <c r="C71" s="12" t="inlineStr">
        <is>
          <t>Asfalto Etapa 2 A - Puerto Nizuc</t>
        </is>
      </c>
      <c r="D71" s="13" t="inlineStr">
        <is>
          <t>SAPECO  2A</t>
        </is>
      </c>
      <c r="E71" s="13" t="n">
        <v>5</v>
      </c>
      <c r="F71" s="13" t="inlineStr">
        <is>
          <t>Redet Obras 2a</t>
        </is>
      </c>
      <c r="G71" s="13" t="inlineStr">
        <is>
          <t>Redet.</t>
        </is>
      </c>
      <c r="H71" s="30" t="n">
        <v>46023</v>
      </c>
      <c r="I71" s="104" t="n"/>
      <c r="J71" s="105" t="n">
        <v>5408883.73</v>
      </c>
      <c r="K71" s="105" t="n">
        <v>5408883.73</v>
      </c>
      <c r="L71" s="13" t="inlineStr">
        <is>
          <t>Validado</t>
        </is>
      </c>
      <c r="M71" s="12" t="inlineStr">
        <is>
          <t>FC A</t>
        </is>
      </c>
      <c r="N71" s="38" t="n">
        <v>2596</v>
      </c>
      <c r="O71" s="106" t="n">
        <v>46132</v>
      </c>
      <c r="P71" s="12" t="inlineStr">
        <is>
          <t>Certificado Básico Nº 4 - Ene'26. Dirección de Obra a subcontrato SAPECO..</t>
        </is>
      </c>
      <c r="Q71" s="18" t="inlineStr">
        <is>
          <t>NO</t>
        </is>
      </c>
      <c r="R71" s="18" t="inlineStr">
        <is>
          <t>N/A</t>
        </is>
      </c>
      <c r="S71" s="105">
        <f>+J71</f>
        <v/>
      </c>
      <c r="T71" s="105" t="n"/>
      <c r="U71" s="105">
        <f>+S71*21%</f>
        <v/>
      </c>
      <c r="V71" s="105">
        <f>+S71*3%</f>
        <v/>
      </c>
      <c r="W71" s="105">
        <f>+S71*2.5%</f>
        <v/>
      </c>
      <c r="X71" s="105">
        <f>IF(A71="00-175",S71*0.06,0)</f>
        <v/>
      </c>
      <c r="Y71" s="105" t="n"/>
      <c r="Z71" s="105" t="n"/>
      <c r="AA71" s="105">
        <f>+S71+T71+U71+W71+X71+V71+Y71</f>
        <v/>
      </c>
      <c r="AB71" s="107" t="n"/>
      <c r="AC71" s="105" t="n"/>
      <c r="AD71" s="20" t="n"/>
      <c r="AE71" s="105" t="n"/>
      <c r="AF71" s="12" t="n"/>
      <c r="AG71" s="105" t="n"/>
      <c r="AH71" s="105" t="n"/>
      <c r="AI71" s="105">
        <f>+AC71+AE71+AG71+AH71</f>
        <v/>
      </c>
      <c r="AJ71" s="105">
        <f>+AA71-AI71</f>
        <v/>
      </c>
      <c r="AK71" s="21">
        <f>IF(Q71="ANULADA","N/A",IF(ABS(AJ71)&gt;10,"Pendiente",IF(MAX(AB71,AD71,AF71)=0,"Pendiente",MAX(0,MAX(AB71,AD71,AF71)-O71))))</f>
        <v/>
      </c>
    </row>
    <row r="72" hidden="1" ht="15" customHeight="1">
      <c r="A72" s="25" t="inlineStr">
        <is>
          <t>00-176b</t>
        </is>
      </c>
      <c r="B72" s="25" t="inlineStr">
        <is>
          <t>FIDEICOMISO MARINAS DEL PLATA</t>
        </is>
      </c>
      <c r="C72" s="12" t="inlineStr">
        <is>
          <t>Asfalto Etapa 2 A - Puerto Nizuc</t>
        </is>
      </c>
      <c r="D72" s="13" t="n"/>
      <c r="E72" s="13" t="n"/>
      <c r="F72" s="13" t="n"/>
      <c r="G72" s="13" t="inlineStr">
        <is>
          <t>Básico</t>
        </is>
      </c>
      <c r="H72" s="30" t="n">
        <v>46054</v>
      </c>
      <c r="I72" s="104" t="n"/>
      <c r="J72" s="105" t="n">
        <v>0</v>
      </c>
      <c r="K72" s="105" t="n">
        <v>0</v>
      </c>
      <c r="L72" s="13" t="n"/>
      <c r="M72" s="12" t="inlineStr">
        <is>
          <t>FC A</t>
        </is>
      </c>
      <c r="N72" s="16" t="n">
        <v>2597</v>
      </c>
      <c r="O72" s="106" t="n">
        <v>46132</v>
      </c>
      <c r="P72" s="12" t="inlineStr">
        <is>
          <t>Certificado Básico Nº 6 - Feb'26 (Corresponde a U$D 20.713,80.- Tipo de Cambio 27/02/2026 = 1.420,00.- $/U$D).</t>
        </is>
      </c>
      <c r="Q72" s="18" t="inlineStr">
        <is>
          <t>ANULADA</t>
        </is>
      </c>
      <c r="R72" s="18" t="n">
        <v>365</v>
      </c>
      <c r="S72" s="105">
        <f>+J72</f>
        <v/>
      </c>
      <c r="T72" s="105" t="n"/>
      <c r="U72" s="105">
        <f>+S72*21%</f>
        <v/>
      </c>
      <c r="V72" s="105">
        <f>+S72*3%</f>
        <v/>
      </c>
      <c r="W72" s="105">
        <f>+S72*2.5%</f>
        <v/>
      </c>
      <c r="X72" s="105">
        <f>IF(A72="00-175",S72*0.06,0)</f>
        <v/>
      </c>
      <c r="Y72" s="105" t="n"/>
      <c r="Z72" s="105" t="n"/>
      <c r="AA72" s="105">
        <f>+S72+T72+U72+W72+X72+V72+Y72</f>
        <v/>
      </c>
      <c r="AB72" s="107" t="n"/>
      <c r="AC72" s="105" t="n"/>
      <c r="AD72" s="20" t="n"/>
      <c r="AE72" s="105" t="n"/>
      <c r="AF72" s="12" t="n"/>
      <c r="AG72" s="105" t="n"/>
      <c r="AH72" s="105" t="n"/>
      <c r="AI72" s="105">
        <f>+AC72+AE72+AG72+AH72</f>
        <v/>
      </c>
      <c r="AJ72" s="105">
        <f>+AA72-AI72</f>
        <v/>
      </c>
      <c r="AK72" s="21">
        <f>IF(Q72="ANULADA","N/A",IF(ABS(AJ72)&gt;10,"Pendiente",IF(MAX(AB72,AD72,AF72)=0,"Pendiente",MAX(0,MAX(AB72,AD72,AF72)-O72))))</f>
        <v/>
      </c>
    </row>
    <row r="73" hidden="1" ht="15" customHeight="1">
      <c r="A73" s="25" t="inlineStr">
        <is>
          <t>00-176b</t>
        </is>
      </c>
      <c r="B73" s="25" t="inlineStr">
        <is>
          <t>FIDEICOMISO MARINAS DEL PLATA</t>
        </is>
      </c>
      <c r="C73" s="12" t="inlineStr">
        <is>
          <t>Asfalto Etapa 2 A - Puerto Nizuc</t>
        </is>
      </c>
      <c r="D73" s="13" t="inlineStr">
        <is>
          <t>SAPECO  2A</t>
        </is>
      </c>
      <c r="E73" s="13" t="n">
        <v>6</v>
      </c>
      <c r="F73" s="13" t="inlineStr">
        <is>
          <t>Redet Obras 2a</t>
        </is>
      </c>
      <c r="G73" s="13" t="inlineStr">
        <is>
          <t>Redet.</t>
        </is>
      </c>
      <c r="H73" s="30" t="n">
        <v>46054</v>
      </c>
      <c r="I73" s="104" t="n"/>
      <c r="J73" s="105" t="n">
        <v>20970962.16</v>
      </c>
      <c r="K73" s="105" t="n">
        <v>20970962.16</v>
      </c>
      <c r="L73" s="13" t="inlineStr">
        <is>
          <t>Validado</t>
        </is>
      </c>
      <c r="M73" s="12" t="inlineStr">
        <is>
          <t>FC A</t>
        </is>
      </c>
      <c r="N73" s="38" t="n">
        <v>2598</v>
      </c>
      <c r="O73" s="106" t="n">
        <v>46132</v>
      </c>
      <c r="P73" s="12" t="inlineStr">
        <is>
          <t>Certificado Básico Nº 5 - Feb'26. Dirección de Obra a subcontrato SAPECO..</t>
        </is>
      </c>
      <c r="Q73" s="18" t="inlineStr">
        <is>
          <t>NO</t>
        </is>
      </c>
      <c r="R73" s="18" t="inlineStr">
        <is>
          <t>N/A</t>
        </is>
      </c>
      <c r="S73" s="105">
        <f>+J73</f>
        <v/>
      </c>
      <c r="T73" s="105" t="n"/>
      <c r="U73" s="105">
        <f>+S73*21%</f>
        <v/>
      </c>
      <c r="V73" s="105">
        <f>+S73*3%</f>
        <v/>
      </c>
      <c r="W73" s="105">
        <f>+S73*2.5%</f>
        <v/>
      </c>
      <c r="X73" s="105">
        <f>IF(A73="00-175",S73*0.06,0)</f>
        <v/>
      </c>
      <c r="Y73" s="105" t="n"/>
      <c r="Z73" s="105" t="n"/>
      <c r="AA73" s="105">
        <f>+S73+T73+U73+W73+X73+V73+Y73</f>
        <v/>
      </c>
      <c r="AB73" s="107" t="n">
        <v>46141</v>
      </c>
      <c r="AC73" s="105" t="n">
        <v>26528267.12</v>
      </c>
      <c r="AD73" s="20" t="n"/>
      <c r="AE73" s="105" t="n"/>
      <c r="AF73" s="12" t="n"/>
      <c r="AG73" s="105" t="n"/>
      <c r="AH73" s="105" t="n"/>
      <c r="AI73" s="105">
        <f>+AC73+AE73+AG73+AH73</f>
        <v/>
      </c>
      <c r="AJ73" s="105">
        <f>+AA73-AI73</f>
        <v/>
      </c>
      <c r="AK73" s="21">
        <f>IF(Q73="ANULADA","N/A",IF(ABS(AJ73)&gt;10,"Pendiente",IF(MAX(AB73,AD73,AF73)=0,"Pendiente",MAX(0,MAX(AB73,AD73,AF73)-O73))))</f>
        <v/>
      </c>
    </row>
    <row r="74" hidden="1" ht="15" customHeight="1">
      <c r="A74" s="25" t="inlineStr">
        <is>
          <t>00-176b</t>
        </is>
      </c>
      <c r="B74" s="25" t="inlineStr">
        <is>
          <t>FIDEICOMISO MARINAS DEL PLATA</t>
        </is>
      </c>
      <c r="C74" s="12" t="inlineStr">
        <is>
          <t>Asfalto Etapa 2 A - Puerto Nizuc</t>
        </is>
      </c>
      <c r="D74" s="13" t="inlineStr">
        <is>
          <t>SAPECO  2A</t>
        </is>
      </c>
      <c r="E74" s="13" t="n">
        <v>7</v>
      </c>
      <c r="F74" s="13" t="inlineStr">
        <is>
          <t>Redet Obras 2a</t>
        </is>
      </c>
      <c r="G74" s="13" t="inlineStr">
        <is>
          <t>Básico</t>
        </is>
      </c>
      <c r="H74" s="30" t="n">
        <v>46082</v>
      </c>
      <c r="I74" s="104" t="n"/>
      <c r="J74" s="105" t="n">
        <v>5187359.48</v>
      </c>
      <c r="K74" s="105" t="n">
        <v>5187359.48</v>
      </c>
      <c r="L74" s="13" t="inlineStr">
        <is>
          <t>Validado</t>
        </is>
      </c>
      <c r="M74" s="12" t="inlineStr">
        <is>
          <t>FC A</t>
        </is>
      </c>
      <c r="N74" s="38" t="n">
        <v>2599</v>
      </c>
      <c r="O74" s="106" t="n">
        <v>46132</v>
      </c>
      <c r="P74" s="12" t="inlineStr">
        <is>
          <t>Certificado Básico Nº 7 - Mar'26. Dirección de Obra a subcontrato SAPECO.</t>
        </is>
      </c>
      <c r="Q74" s="18" t="inlineStr">
        <is>
          <t>NO</t>
        </is>
      </c>
      <c r="R74" s="18" t="inlineStr">
        <is>
          <t>N/A</t>
        </is>
      </c>
      <c r="S74" s="105">
        <f>+J74</f>
        <v/>
      </c>
      <c r="T74" s="105" t="n"/>
      <c r="U74" s="105">
        <f>+S74*21%</f>
        <v/>
      </c>
      <c r="V74" s="105">
        <f>+S74*3%</f>
        <v/>
      </c>
      <c r="W74" s="105">
        <f>+S74*2.5%</f>
        <v/>
      </c>
      <c r="X74" s="105">
        <f>IF(A74="00-175",S74*0.06,0)</f>
        <v/>
      </c>
      <c r="Y74" s="105" t="n"/>
      <c r="Z74" s="105" t="n"/>
      <c r="AA74" s="105">
        <f>+S74+T74+U74+W74+X74+V74+Y74</f>
        <v/>
      </c>
      <c r="AB74" s="107" t="n">
        <v>46141</v>
      </c>
      <c r="AC74" s="105" t="n">
        <v>6445309.74</v>
      </c>
      <c r="AD74" s="20" t="n"/>
      <c r="AE74" s="105" t="n"/>
      <c r="AF74" s="12" t="n"/>
      <c r="AG74" s="105" t="n"/>
      <c r="AH74" s="105" t="n"/>
      <c r="AI74" s="105">
        <f>+AC74+AE74+AG74+AH74</f>
        <v/>
      </c>
      <c r="AJ74" s="105">
        <f>+AA74-AI74</f>
        <v/>
      </c>
      <c r="AK74" s="21">
        <f>IF(Q74="ANULADA","N/A",IF(ABS(AJ74)&gt;10,"Pendiente",IF(MAX(AB74,AD74,AF74)=0,"Pendiente",MAX(0,MAX(AB74,AD74,AF74)-O74))))</f>
        <v/>
      </c>
    </row>
    <row r="75" hidden="1" ht="15" customHeight="1">
      <c r="A75" s="25" t="inlineStr">
        <is>
          <t>00-176b</t>
        </is>
      </c>
      <c r="B75" s="25" t="inlineStr">
        <is>
          <t>FIDEICOMISO MARINAS DEL PLATA</t>
        </is>
      </c>
      <c r="C75" s="12" t="inlineStr">
        <is>
          <t>Asfalto Etapa 2 A - Puerto Nizuc</t>
        </is>
      </c>
      <c r="D75" s="13" t="inlineStr">
        <is>
          <t>Obras sector 2 A</t>
        </is>
      </c>
      <c r="E75" s="13" t="n">
        <v>6</v>
      </c>
      <c r="F75" s="13" t="inlineStr">
        <is>
          <t>Basico Obras 2a</t>
        </is>
      </c>
      <c r="G75" s="13" t="inlineStr">
        <is>
          <t>Básico</t>
        </is>
      </c>
      <c r="H75" s="30" t="n">
        <v>46054</v>
      </c>
      <c r="I75" s="104" t="n"/>
      <c r="J75" s="105" t="n">
        <v>29413596</v>
      </c>
      <c r="K75" s="105" t="n">
        <v>29413596</v>
      </c>
      <c r="L75" s="13" t="inlineStr">
        <is>
          <t>Validado</t>
        </is>
      </c>
      <c r="M75" s="12" t="inlineStr">
        <is>
          <t>FC A</t>
        </is>
      </c>
      <c r="N75" s="38" t="n">
        <v>2605</v>
      </c>
      <c r="O75" s="106" t="n">
        <v>46133</v>
      </c>
      <c r="P75" s="12" t="inlineStr">
        <is>
          <t>Certificado Básico Nº 6 - Feb'26 (Corresponde a U$D 20.713,80.- Tipo de Cambio 27/02/2026 = 1.420,00.- $/U$D).</t>
        </is>
      </c>
      <c r="Q75" s="18" t="inlineStr">
        <is>
          <t>NO</t>
        </is>
      </c>
      <c r="R75" s="18" t="inlineStr">
        <is>
          <t>N/A</t>
        </is>
      </c>
      <c r="S75" s="105">
        <f>+J75</f>
        <v/>
      </c>
      <c r="T75" s="105" t="n"/>
      <c r="U75" s="105">
        <f>+S75*21%</f>
        <v/>
      </c>
      <c r="V75" s="105">
        <f>+S75*3%</f>
        <v/>
      </c>
      <c r="W75" s="105">
        <f>+S75*2.5%</f>
        <v/>
      </c>
      <c r="X75" s="105">
        <f>IF(A75="00-175",S75*0.06,0)</f>
        <v/>
      </c>
      <c r="Y75" s="105" t="n"/>
      <c r="Z75" s="105" t="n"/>
      <c r="AA75" s="105">
        <f>+S75+T75+U75+W75+X75+V75+Y75</f>
        <v/>
      </c>
      <c r="AB75" s="107" t="n">
        <v>46162</v>
      </c>
      <c r="AC75" s="105" t="n">
        <v>37208198.94</v>
      </c>
      <c r="AD75" s="20" t="n"/>
      <c r="AE75" s="105" t="n"/>
      <c r="AF75" s="12" t="n"/>
      <c r="AG75" s="105" t="n"/>
      <c r="AH75" s="105" t="n"/>
      <c r="AI75" s="105">
        <f>+AC75+AE75+AG75+AH75</f>
        <v/>
      </c>
      <c r="AJ75" s="105">
        <f>+AA75-AI75</f>
        <v/>
      </c>
      <c r="AK75" s="21">
        <f>IF(Q75="ANULADA","N/A",IF(ABS(AJ75)&gt;10,"Pendiente",IF(MAX(AB75,AD75,AF75)=0,"Pendiente",MAX(0,MAX(AB75,AD75,AF75)-O75))))</f>
        <v/>
      </c>
    </row>
    <row r="76" hidden="1" ht="15" customHeight="1">
      <c r="A76" s="12" t="inlineStr">
        <is>
          <t>00-176</t>
        </is>
      </c>
      <c r="B76" s="25" t="inlineStr">
        <is>
          <t>FIDEICOMISO MARINAS DEL PLATA</t>
        </is>
      </c>
      <c r="C76" s="12" t="inlineStr">
        <is>
          <t>Asfalto Etapa 2 A - Puerto Nizuc</t>
        </is>
      </c>
      <c r="D76" s="13" t="inlineStr">
        <is>
          <t>PAVIMENTACIÓN 2A/ 2B/ L5 / L6/ L7/ BOULEVARD</t>
        </is>
      </c>
      <c r="E76" s="13" t="n">
        <v>1</v>
      </c>
      <c r="F76" s="13" t="inlineStr">
        <is>
          <t>Basico Obras 2a</t>
        </is>
      </c>
      <c r="G76" s="13" t="inlineStr">
        <is>
          <t>Básico</t>
        </is>
      </c>
      <c r="H76" s="30" t="n">
        <v>46082</v>
      </c>
      <c r="I76" s="104" t="n"/>
      <c r="J76" s="105" t="n">
        <v>169496073.95</v>
      </c>
      <c r="K76" s="105" t="n">
        <v>169496073.95</v>
      </c>
      <c r="L76" s="13" t="inlineStr">
        <is>
          <t>Validado</t>
        </is>
      </c>
      <c r="M76" s="12" t="inlineStr">
        <is>
          <t>FC A</t>
        </is>
      </c>
      <c r="N76" s="38" t="n">
        <v>2611</v>
      </c>
      <c r="O76" s="106" t="n">
        <v>46142</v>
      </c>
      <c r="P76" s="12" t="inlineStr">
        <is>
          <t>Certificado Básico Nº 1 - Mar'26.</t>
        </is>
      </c>
      <c r="Q76" s="18" t="inlineStr">
        <is>
          <t>NO</t>
        </is>
      </c>
      <c r="R76" s="18" t="inlineStr">
        <is>
          <t>N/A</t>
        </is>
      </c>
      <c r="S76" s="105">
        <f>+J76</f>
        <v/>
      </c>
      <c r="T76" s="105" t="n"/>
      <c r="U76" s="105">
        <f>+S76*21%</f>
        <v/>
      </c>
      <c r="V76" s="105">
        <f>+S76*3%</f>
        <v/>
      </c>
      <c r="W76" s="105">
        <f>+S76*2.5%</f>
        <v/>
      </c>
      <c r="X76" s="105">
        <f>IF(A76="00-175",S76*0.06,0)</f>
        <v/>
      </c>
      <c r="Y76" s="105" t="n"/>
      <c r="Z76" s="105" t="n"/>
      <c r="AA76" s="105">
        <f>+S76+T76+U76+W76+X76+V76+Y76</f>
        <v/>
      </c>
      <c r="AB76" s="107" t="n">
        <v>46162</v>
      </c>
      <c r="AC76" s="105" t="n">
        <v>214412533.55</v>
      </c>
      <c r="AD76" s="20" t="n"/>
      <c r="AE76" s="105" t="n"/>
      <c r="AF76" s="12" t="n"/>
      <c r="AG76" s="105" t="n"/>
      <c r="AH76" s="105" t="n"/>
      <c r="AI76" s="105">
        <f>+AC76+AE76+AG76+AH76</f>
        <v/>
      </c>
      <c r="AJ76" s="105">
        <f>+AA76-AI76</f>
        <v/>
      </c>
      <c r="AK76" s="21">
        <f>IF(Q76="ANULADA","N/A",IF(ABS(AJ76)&gt;10,"Pendiente",IF(MAX(AB76,AD76,AF76)=0,"Pendiente",MAX(0,MAX(AB76,AD76,AF76)-O76))))</f>
        <v/>
      </c>
    </row>
    <row r="77" hidden="1" ht="15" customHeight="1">
      <c r="A77" s="22" t="inlineStr">
        <is>
          <t>00-176</t>
        </is>
      </c>
      <c r="B77" s="25" t="inlineStr">
        <is>
          <t>FIDEICOMISO MARINAS DEL PLATA</t>
        </is>
      </c>
      <c r="C77" s="22" t="inlineStr">
        <is>
          <t>Asfalto Etapa 2 A - Puerto Nizuc</t>
        </is>
      </c>
      <c r="D77" s="13" t="inlineStr">
        <is>
          <t>PAVIMENTACIÓN 2A/ 2B/ L5 / L6/ L7/ BOULEVARD</t>
        </is>
      </c>
      <c r="E77" s="13" t="n">
        <v>1</v>
      </c>
      <c r="F77" s="13" t="inlineStr">
        <is>
          <t>Redet Obras 2a</t>
        </is>
      </c>
      <c r="G77" s="13" t="inlineStr">
        <is>
          <t>Básico</t>
        </is>
      </c>
      <c r="H77" s="30" t="n">
        <v>46082</v>
      </c>
      <c r="I77" s="104" t="n"/>
      <c r="J77" s="105" t="n">
        <v>6106787.42</v>
      </c>
      <c r="K77" s="105" t="n">
        <v>6106787.42</v>
      </c>
      <c r="L77" s="13" t="inlineStr">
        <is>
          <t>Validado</t>
        </is>
      </c>
      <c r="M77" s="22" t="inlineStr">
        <is>
          <t>FC A</t>
        </is>
      </c>
      <c r="N77" s="38" t="n">
        <v>2612</v>
      </c>
      <c r="O77" s="106" t="n">
        <v>46142</v>
      </c>
      <c r="P77" s="22" t="inlineStr">
        <is>
          <t>Certificado de Redeterminación Provisorio Nº 1 - Mar'26</t>
        </is>
      </c>
      <c r="Q77" s="22" t="inlineStr">
        <is>
          <t>NO</t>
        </is>
      </c>
      <c r="R77" s="22" t="inlineStr">
        <is>
          <t>N/A</t>
        </is>
      </c>
      <c r="S77" s="105">
        <f>+J77</f>
        <v/>
      </c>
      <c r="T77" s="105" t="n"/>
      <c r="U77" s="105">
        <f>+S77*21%</f>
        <v/>
      </c>
      <c r="V77" s="105">
        <f>+S77*3%</f>
        <v/>
      </c>
      <c r="W77" s="105">
        <f>+S77*2.5%</f>
        <v/>
      </c>
      <c r="X77" s="105">
        <f>IF(A77="00-175",S77*0.06,0)</f>
        <v/>
      </c>
      <c r="Y77" s="105" t="n"/>
      <c r="Z77" s="105" t="n"/>
      <c r="AA77" s="105">
        <f>+S77+T77+U77+W77+X77+V77+Y77</f>
        <v/>
      </c>
      <c r="AB77" s="107" t="n">
        <v>46162</v>
      </c>
      <c r="AC77" s="105" t="n">
        <v>7724860.14</v>
      </c>
      <c r="AD77" s="22" t="n"/>
      <c r="AE77" s="105" t="n"/>
      <c r="AF77" s="22" t="n"/>
      <c r="AG77" s="105" t="n"/>
      <c r="AH77" s="105" t="n"/>
      <c r="AI77" s="105">
        <f>+AC77+AE77+AG77+AH77</f>
        <v/>
      </c>
      <c r="AJ77" s="105">
        <f>+AA77-AI77</f>
        <v/>
      </c>
      <c r="AK77" s="21">
        <f>IF(Q77="ANULADA","N/A",IF(ABS(AJ77)&gt;10,"Pendiente",IF(MAX(AB77,AD77,AF77)=0,"Pendiente",MAX(0,MAX(AB77,AD77,AF77)-O77))))</f>
        <v/>
      </c>
    </row>
    <row r="78" hidden="1" ht="15" customHeight="1">
      <c r="A78" s="22" t="inlineStr">
        <is>
          <t>00-176c</t>
        </is>
      </c>
      <c r="B78" s="25" t="inlineStr">
        <is>
          <t>FIDEICOMISO MARINAS DEL PLATA</t>
        </is>
      </c>
      <c r="C78" s="22" t="inlineStr">
        <is>
          <t>Asfalto Etapa 2 A - Puerto Nizuc</t>
        </is>
      </c>
      <c r="D78" s="13" t="inlineStr">
        <is>
          <t>Pavimentacion Basico</t>
        </is>
      </c>
      <c r="E78" s="13" t="n">
        <v>2</v>
      </c>
      <c r="F78" s="13" t="inlineStr">
        <is>
          <t>Basico Obras 2a</t>
        </is>
      </c>
      <c r="G78" s="13" t="inlineStr">
        <is>
          <t>Basico</t>
        </is>
      </c>
      <c r="H78" s="30" t="n">
        <v>46113</v>
      </c>
      <c r="I78" s="104" t="n"/>
      <c r="J78" s="105" t="n">
        <v>420952975.32</v>
      </c>
      <c r="K78" s="105" t="n">
        <v>420952975.32</v>
      </c>
      <c r="L78" s="13" t="inlineStr">
        <is>
          <t>Validado</t>
        </is>
      </c>
      <c r="M78" s="12" t="inlineStr">
        <is>
          <t>FC A</t>
        </is>
      </c>
      <c r="N78" s="24" t="n">
        <v>2628</v>
      </c>
      <c r="O78" s="106" t="n">
        <v>46178</v>
      </c>
      <c r="P78" s="22" t="n"/>
      <c r="Q78" s="22" t="inlineStr">
        <is>
          <t>NO</t>
        </is>
      </c>
      <c r="R78" s="22" t="inlineStr">
        <is>
          <t>N/A</t>
        </is>
      </c>
      <c r="S78" s="105">
        <f>+K78</f>
        <v/>
      </c>
      <c r="T78" s="105" t="n"/>
      <c r="U78" s="105">
        <f>+S78*21%</f>
        <v/>
      </c>
      <c r="V78" s="105">
        <f>+S78*3%</f>
        <v/>
      </c>
      <c r="W78" s="105">
        <f>+S78*2.5%</f>
        <v/>
      </c>
      <c r="X78" s="105">
        <f>IF(A78="00-175",S78*0.06,0)</f>
        <v/>
      </c>
      <c r="Y78" s="105" t="n"/>
      <c r="Z78" s="105" t="n"/>
      <c r="AA78" s="105">
        <f>+S78+T78+U78+W78+X78+V78+Y78</f>
        <v/>
      </c>
      <c r="AB78" s="22" t="n"/>
      <c r="AC78" s="105" t="n"/>
      <c r="AD78" s="22" t="n"/>
      <c r="AE78" s="105" t="n"/>
      <c r="AF78" s="22" t="n"/>
      <c r="AG78" s="105" t="n"/>
      <c r="AH78" s="105" t="n"/>
      <c r="AI78" s="105">
        <f>+AC78+AE78+AG78+AH78</f>
        <v/>
      </c>
      <c r="AJ78" s="105">
        <f>+AA78-AI78</f>
        <v/>
      </c>
      <c r="AK78" s="21">
        <f>IF(Q78="ANULADA","N/A",IF(ABS(AJ78)&gt;10,"Pendiente",IF(MAX(AB78,AD78,AF78)=0,"Pendiente",MAX(0,MAX(AB78,AD78,AF78)-O78))))</f>
        <v/>
      </c>
    </row>
    <row r="79" hidden="1" ht="15" customHeight="1">
      <c r="A79" s="22" t="inlineStr">
        <is>
          <t>00-176c</t>
        </is>
      </c>
      <c r="B79" s="25" t="inlineStr">
        <is>
          <t>FIDEICOMISO MARINAS DEL PLATA</t>
        </is>
      </c>
      <c r="C79" s="22" t="inlineStr">
        <is>
          <t>Asfalto Etapa 2 A - Puerto Nizuc</t>
        </is>
      </c>
      <c r="D79" s="13" t="inlineStr">
        <is>
          <t>Pavimentacion Redet</t>
        </is>
      </c>
      <c r="E79" s="13" t="n">
        <v>2</v>
      </c>
      <c r="F79" s="13" t="inlineStr">
        <is>
          <t>Basico Obras 2a</t>
        </is>
      </c>
      <c r="G79" s="13" t="inlineStr">
        <is>
          <t>Redet.</t>
        </is>
      </c>
      <c r="H79" s="30" t="n">
        <v>46113</v>
      </c>
      <c r="I79" s="104" t="n"/>
      <c r="J79" s="105" t="n">
        <v>25172719.9</v>
      </c>
      <c r="K79" s="105">
        <f>+J79</f>
        <v/>
      </c>
      <c r="L79" s="13" t="inlineStr">
        <is>
          <t>Validado</t>
        </is>
      </c>
      <c r="M79" s="12" t="inlineStr">
        <is>
          <t>FC A</t>
        </is>
      </c>
      <c r="N79" s="24" t="n">
        <v>2629</v>
      </c>
      <c r="O79" s="106" t="n">
        <v>46178</v>
      </c>
      <c r="P79" s="22" t="inlineStr">
        <is>
          <t>Redeterminación Provisorio Nº 2 - Abr'26 + Redeterminación Definitivo Nº 1 - Mar'26</t>
        </is>
      </c>
      <c r="Q79" s="22" t="inlineStr">
        <is>
          <t>NO</t>
        </is>
      </c>
      <c r="R79" s="22" t="inlineStr">
        <is>
          <t>N/A</t>
        </is>
      </c>
      <c r="S79" s="105">
        <f>+K79</f>
        <v/>
      </c>
      <c r="T79" s="105" t="n"/>
      <c r="U79" s="105">
        <f>+S79*21%</f>
        <v/>
      </c>
      <c r="V79" s="105">
        <f>+S79*3%</f>
        <v/>
      </c>
      <c r="W79" s="105">
        <f>+S79*2.5%</f>
        <v/>
      </c>
      <c r="X79" s="105">
        <f>IF(A79="00-175",S79*0.06,0)</f>
        <v/>
      </c>
      <c r="Y79" s="105" t="n"/>
      <c r="Z79" s="105" t="n"/>
      <c r="AA79" s="105">
        <f>+S79+T79+U79+W79+X79+V79+Y79</f>
        <v/>
      </c>
      <c r="AB79" s="22" t="n"/>
      <c r="AC79" s="105" t="n"/>
      <c r="AD79" s="22" t="n"/>
      <c r="AE79" s="105" t="n"/>
      <c r="AF79" s="22" t="n"/>
      <c r="AG79" s="105" t="n"/>
      <c r="AH79" s="105" t="n"/>
      <c r="AI79" s="105">
        <f>+AC79+AE79+AG79+AH79</f>
        <v/>
      </c>
      <c r="AJ79" s="105">
        <f>+AA79-AI79</f>
        <v/>
      </c>
      <c r="AK79" s="21">
        <f>IF(Q79="ANULADA","N/A",IF(ABS(AJ79)&gt;10,"Pendiente",IF(MAX(AB79,AD79,AF79)=0,"Pendiente",MAX(0,MAX(AB79,AD79,AF79)-O79))))</f>
        <v/>
      </c>
    </row>
    <row r="80" hidden="1" ht="15" customHeight="1">
      <c r="A80" s="22" t="inlineStr">
        <is>
          <t>00-176d</t>
        </is>
      </c>
      <c r="B80" s="25" t="inlineStr">
        <is>
          <t>FIDEICOMISO MARINAS DEL PLATA</t>
        </is>
      </c>
      <c r="C80" s="22" t="inlineStr">
        <is>
          <t>Asfalto Etapa 2 A - Puerto Nizuc</t>
        </is>
      </c>
      <c r="D80" s="13" t="inlineStr">
        <is>
          <t>Redet. REPARACION DE CORDONES Y BADENES ETAPA 2</t>
        </is>
      </c>
      <c r="E80" s="13" t="n">
        <v>1</v>
      </c>
      <c r="F80" s="13" t="inlineStr">
        <is>
          <t>Redet Obras 2a</t>
        </is>
      </c>
      <c r="G80" s="13" t="inlineStr">
        <is>
          <t>Redet.</t>
        </is>
      </c>
      <c r="H80" s="30" t="n">
        <v>46082</v>
      </c>
      <c r="I80" s="104" t="n"/>
      <c r="J80" s="105" t="n">
        <v>37258109.27</v>
      </c>
      <c r="K80" s="105">
        <f>+J80</f>
        <v/>
      </c>
      <c r="L80" s="13" t="inlineStr">
        <is>
          <t>En Espera</t>
        </is>
      </c>
      <c r="M80" s="22" t="n"/>
      <c r="N80" s="24" t="n"/>
      <c r="O80" s="106" t="n"/>
      <c r="P80" s="22" t="n"/>
      <c r="Q80" s="22" t="n"/>
      <c r="R80" s="22" t="n"/>
      <c r="S80" s="105" t="n"/>
      <c r="T80" s="105" t="n"/>
      <c r="U80" s="105">
        <f>+S80*21%</f>
        <v/>
      </c>
      <c r="V80" s="105">
        <f>+S80*3%</f>
        <v/>
      </c>
      <c r="W80" s="105">
        <f>+S80*0.3%</f>
        <v/>
      </c>
      <c r="X80" s="105">
        <f>IF(A80="00-175",S80*0.06,0)</f>
        <v/>
      </c>
      <c r="Y80" s="105" t="n"/>
      <c r="Z80" s="105" t="n"/>
      <c r="AA80" s="105">
        <f>+S80+T80+U80+W80+X80+V80+Y80</f>
        <v/>
      </c>
      <c r="AB80" s="22" t="n"/>
      <c r="AC80" s="105" t="n"/>
      <c r="AD80" s="22" t="n"/>
      <c r="AE80" s="105" t="n"/>
      <c r="AF80" s="22" t="n"/>
      <c r="AG80" s="105" t="n"/>
      <c r="AH80" s="105" t="n"/>
      <c r="AI80" s="105">
        <f>+AC80+AE80+AG80+AH80</f>
        <v/>
      </c>
      <c r="AJ80" s="105">
        <f>+AA80-AI80</f>
        <v/>
      </c>
      <c r="AK80" s="21">
        <f>IF(Q80="ANULADA","N/A",IF(ABS(AJ80)&gt;10,"Pendiente",IF(MAX(AB80,AD80,AF80)=0,"Pendiente",MAX(0,MAX(AB80,AD80,AF80)-O80))))</f>
        <v/>
      </c>
    </row>
    <row r="81" hidden="1" ht="15" customHeight="1">
      <c r="A81" s="22" t="inlineStr">
        <is>
          <t>00-176d</t>
        </is>
      </c>
      <c r="B81" s="25" t="inlineStr">
        <is>
          <t>FIDEICOMISO MARINAS DEL PLATA</t>
        </is>
      </c>
      <c r="C81" s="22" t="inlineStr">
        <is>
          <t>Asfalto Etapa 2 A - Puerto Nizuc</t>
        </is>
      </c>
      <c r="D81" s="13" t="inlineStr">
        <is>
          <t>Basico REPARACION DE CORDONES Y BADENES ETAPA 2</t>
        </is>
      </c>
      <c r="E81" s="13" t="n">
        <v>1</v>
      </c>
      <c r="F81" s="13" t="inlineStr">
        <is>
          <t>Basico Obras 2a</t>
        </is>
      </c>
      <c r="G81" s="13" t="inlineStr">
        <is>
          <t>Basico</t>
        </is>
      </c>
      <c r="H81" s="30" t="n">
        <v>46113</v>
      </c>
      <c r="I81" s="104" t="n"/>
      <c r="J81" s="105" t="n">
        <v>1342357.36</v>
      </c>
      <c r="K81" s="105">
        <f>+J81</f>
        <v/>
      </c>
      <c r="L81" s="13" t="inlineStr">
        <is>
          <t>En Espera</t>
        </is>
      </c>
      <c r="M81" s="22" t="n"/>
      <c r="N81" s="24" t="n"/>
      <c r="O81" s="106" t="n"/>
      <c r="P81" s="22" t="n"/>
      <c r="Q81" s="22" t="n"/>
      <c r="R81" s="22" t="n"/>
      <c r="S81" s="105" t="n"/>
      <c r="T81" s="105" t="n"/>
      <c r="U81" s="105">
        <f>+S81*21%</f>
        <v/>
      </c>
      <c r="V81" s="105">
        <f>+S81*3%</f>
        <v/>
      </c>
      <c r="W81" s="105">
        <f>+S81*0.3%</f>
        <v/>
      </c>
      <c r="X81" s="105">
        <f>IF(A81="00-175",S81*0.06,0)</f>
        <v/>
      </c>
      <c r="Y81" s="105" t="n"/>
      <c r="Z81" s="105" t="n"/>
      <c r="AA81" s="105">
        <f>+S81+T81+U81+W81+X81+V81+Y81</f>
        <v/>
      </c>
      <c r="AB81" s="22" t="n"/>
      <c r="AC81" s="105" t="n"/>
      <c r="AD81" s="22" t="n"/>
      <c r="AE81" s="105" t="n"/>
      <c r="AF81" s="22" t="n"/>
      <c r="AG81" s="105" t="n"/>
      <c r="AH81" s="105" t="n"/>
      <c r="AI81" s="105">
        <f>+AC81+AE81+AG81+AH81</f>
        <v/>
      </c>
      <c r="AJ81" s="105">
        <f>+AA81-AI81</f>
        <v/>
      </c>
      <c r="AK81" s="21">
        <f>IF(Q81="ANULADA","N/A",IF(ABS(AJ81)&gt;10,"Pendiente",IF(MAX(AB81,AD81,AF81)=0,"Pendiente",MAX(0,MAX(AB81,AD81,AF81)-O81))))</f>
        <v/>
      </c>
    </row>
    <row r="82" hidden="1" ht="15" customHeight="1">
      <c r="A82" s="22" t="inlineStr">
        <is>
          <t>00-177</t>
        </is>
      </c>
      <c r="B82" s="25" t="inlineStr">
        <is>
          <t>EDIFICIOS PUERTO NIZUC FIDEICOMISO</t>
        </is>
      </c>
      <c r="C82" s="22" t="inlineStr">
        <is>
          <t>Edificios 7 y 8 - Puerto Nizuc</t>
        </is>
      </c>
      <c r="D82" s="13" t="inlineStr">
        <is>
          <t>Edificios 7 a 8</t>
        </is>
      </c>
      <c r="E82" s="13" t="inlineStr">
        <is>
          <t>N/A</t>
        </is>
      </c>
      <c r="F82" s="13" t="inlineStr">
        <is>
          <t>Dev. Anticipo Financiero Certificado Dic'25</t>
        </is>
      </c>
      <c r="G82" s="13" t="inlineStr">
        <is>
          <t>Dev. Anticipo</t>
        </is>
      </c>
      <c r="H82" s="23" t="n">
        <v>45992</v>
      </c>
      <c r="I82" s="104" t="n"/>
      <c r="J82" s="105" t="n">
        <v>-2328405169.03</v>
      </c>
      <c r="K82" s="105" t="n">
        <v>-2328405169.03</v>
      </c>
      <c r="L82" s="13" t="inlineStr">
        <is>
          <t>Validado</t>
        </is>
      </c>
      <c r="M82" s="22" t="inlineStr">
        <is>
          <t>NC A</t>
        </is>
      </c>
      <c r="N82" s="38" t="n">
        <v>366</v>
      </c>
      <c r="O82" s="106" t="n">
        <v>46162</v>
      </c>
      <c r="P82" s="22" t="inlineStr">
        <is>
          <t>Devolución Anticipo Financiero Certificado Dic'25</t>
        </is>
      </c>
      <c r="Q82" s="22" t="inlineStr">
        <is>
          <t>NO</t>
        </is>
      </c>
      <c r="R82" s="22" t="inlineStr">
        <is>
          <t>N/A</t>
        </is>
      </c>
      <c r="S82" s="105" t="n">
        <v>-2328405169.03</v>
      </c>
      <c r="T82" s="105" t="n">
        <v>-244482542.75</v>
      </c>
      <c r="U82" s="105" t="n">
        <v>0</v>
      </c>
      <c r="V82" s="105" t="n">
        <v>0</v>
      </c>
      <c r="W82" s="105" t="n">
        <v>-69852155.06999999</v>
      </c>
      <c r="X82" s="105" t="n">
        <v>-81494180.92</v>
      </c>
      <c r="Y82" s="105" t="n">
        <v>0</v>
      </c>
      <c r="Z82" s="105" t="n">
        <v>-34926077.54</v>
      </c>
      <c r="AA82" s="105" t="n">
        <v>-2759160125.31</v>
      </c>
      <c r="AB82" s="112" t="n"/>
      <c r="AC82" s="105" t="n"/>
      <c r="AD82" s="22" t="n"/>
      <c r="AE82" s="105" t="n"/>
      <c r="AF82" s="22" t="n"/>
      <c r="AG82" s="105" t="n"/>
      <c r="AH82" s="105" t="n"/>
      <c r="AI82" s="105" t="n">
        <v>0</v>
      </c>
      <c r="AJ82" s="105" t="n">
        <v>0</v>
      </c>
      <c r="AK82" s="21" t="inlineStr">
        <is>
          <t>N/A</t>
        </is>
      </c>
    </row>
    <row r="83" hidden="1" ht="15" customHeight="1">
      <c r="A83" s="12" t="inlineStr">
        <is>
          <t>00-177</t>
        </is>
      </c>
      <c r="B83" s="12" t="inlineStr">
        <is>
          <t>EDIFICIOS PUERTO NIZUC FIDEICOMISO</t>
        </is>
      </c>
      <c r="C83" s="22" t="inlineStr">
        <is>
          <t>Edificios 7 y 8 - Puerto Nizuc</t>
        </is>
      </c>
      <c r="D83" s="13" t="inlineStr">
        <is>
          <t>Edificios 7 a 8</t>
        </is>
      </c>
      <c r="E83" s="13" t="inlineStr">
        <is>
          <t>N/A</t>
        </is>
      </c>
      <c r="F83" s="13" t="inlineStr">
        <is>
          <t>Dev. Anticipo Financiero Certificado Ene'26</t>
        </is>
      </c>
      <c r="G83" s="13" t="inlineStr">
        <is>
          <t>Dev. Anticipo</t>
        </is>
      </c>
      <c r="H83" s="23" t="n">
        <v>46023</v>
      </c>
      <c r="I83" s="104" t="n"/>
      <c r="J83" s="105" t="n">
        <v>-1544727626.42</v>
      </c>
      <c r="K83" s="105" t="n">
        <v>-1544727626.42</v>
      </c>
      <c r="L83" s="13" t="inlineStr">
        <is>
          <t>Validado</t>
        </is>
      </c>
      <c r="M83" s="12" t="inlineStr">
        <is>
          <t>NC A</t>
        </is>
      </c>
      <c r="N83" s="38" t="n">
        <v>367</v>
      </c>
      <c r="O83" s="106" t="n">
        <v>46162</v>
      </c>
      <c r="P83" s="12" t="inlineStr">
        <is>
          <t>Devolución Anticipo Financiero Certificado Ene'26</t>
        </is>
      </c>
      <c r="Q83" s="18" t="inlineStr">
        <is>
          <t>NO</t>
        </is>
      </c>
      <c r="R83" s="18" t="inlineStr">
        <is>
          <t>N/A</t>
        </is>
      </c>
      <c r="S83" s="105" t="n">
        <v>-1544727626.42</v>
      </c>
      <c r="T83" s="105" t="n">
        <v>-162196400.77</v>
      </c>
      <c r="U83" s="105" t="n">
        <v>0</v>
      </c>
      <c r="V83" s="105" t="n">
        <v>0</v>
      </c>
      <c r="W83" s="105" t="n">
        <v>-46341828.79</v>
      </c>
      <c r="X83" s="105" t="n">
        <v>-54065466.92</v>
      </c>
      <c r="Y83" s="105" t="n">
        <v>0</v>
      </c>
      <c r="Z83" s="105" t="n">
        <v>-23170914.4</v>
      </c>
      <c r="AA83" s="105" t="n">
        <v>-1830502237.3</v>
      </c>
      <c r="AB83" s="107" t="n"/>
      <c r="AC83" s="105" t="n"/>
      <c r="AD83" s="20" t="n"/>
      <c r="AE83" s="105" t="n"/>
      <c r="AF83" s="12" t="n"/>
      <c r="AG83" s="105" t="n"/>
      <c r="AH83" s="105" t="n"/>
      <c r="AI83" s="105" t="n">
        <v>0</v>
      </c>
      <c r="AJ83" s="105" t="n">
        <v>0</v>
      </c>
      <c r="AK83" s="21" t="inlineStr">
        <is>
          <t>N/A</t>
        </is>
      </c>
    </row>
    <row r="84" hidden="1" ht="15" customHeight="1">
      <c r="A84" s="22" t="inlineStr">
        <is>
          <t>00-177</t>
        </is>
      </c>
      <c r="B84" s="25" t="inlineStr">
        <is>
          <t>EDIFICIOS PUERTO NIZUC FIDEICOMISO</t>
        </is>
      </c>
      <c r="C84" s="22" t="inlineStr">
        <is>
          <t>Edificios 7 y 8 - Puerto Nizuc</t>
        </is>
      </c>
      <c r="D84" s="13" t="inlineStr">
        <is>
          <t>Edificios 7 a 8</t>
        </is>
      </c>
      <c r="E84" s="13" t="inlineStr">
        <is>
          <t>N/A</t>
        </is>
      </c>
      <c r="F84" s="13" t="inlineStr">
        <is>
          <t>Dev. Anticipo Financiero Certificado Feb'26</t>
        </is>
      </c>
      <c r="G84" s="13" t="inlineStr">
        <is>
          <t>Dev. Anticipo</t>
        </is>
      </c>
      <c r="H84" s="23" t="n">
        <v>46054</v>
      </c>
      <c r="I84" s="104" t="n"/>
      <c r="J84" s="105" t="n">
        <v>-859455138.4</v>
      </c>
      <c r="K84" s="105" t="n">
        <v>-859455138.4</v>
      </c>
      <c r="L84" s="13" t="inlineStr">
        <is>
          <t>Validado</t>
        </is>
      </c>
      <c r="M84" s="22" t="inlineStr">
        <is>
          <t>NC A</t>
        </is>
      </c>
      <c r="N84" s="38" t="n">
        <v>368</v>
      </c>
      <c r="O84" s="106" t="n">
        <v>46162</v>
      </c>
      <c r="P84" s="22" t="inlineStr">
        <is>
          <t>Devolución Anticipo Financiero Certificado Feb'26</t>
        </is>
      </c>
      <c r="Q84" s="22" t="inlineStr">
        <is>
          <t>NO</t>
        </is>
      </c>
      <c r="R84" s="22" t="inlineStr">
        <is>
          <t>N/A</t>
        </is>
      </c>
      <c r="S84" s="105" t="n">
        <v>-859455138.4</v>
      </c>
      <c r="T84" s="105" t="n">
        <v>-90242789.53</v>
      </c>
      <c r="U84" s="105" t="n">
        <v>0</v>
      </c>
      <c r="V84" s="105" t="n">
        <v>0</v>
      </c>
      <c r="W84" s="105" t="n">
        <v>-25783654.15</v>
      </c>
      <c r="X84" s="105" t="n">
        <v>-30080929.84</v>
      </c>
      <c r="Y84" s="105" t="n">
        <v>0</v>
      </c>
      <c r="Z84" s="105" t="n">
        <v>-12891827.08</v>
      </c>
      <c r="AA84" s="105" t="n">
        <v>-1018454339</v>
      </c>
      <c r="AB84" s="112" t="n"/>
      <c r="AC84" s="105" t="n"/>
      <c r="AD84" s="22" t="n"/>
      <c r="AE84" s="105" t="n"/>
      <c r="AF84" s="22" t="n"/>
      <c r="AG84" s="105" t="n"/>
      <c r="AH84" s="105" t="n"/>
      <c r="AI84" s="105" t="n">
        <v>0</v>
      </c>
      <c r="AJ84" s="105" t="n">
        <v>0</v>
      </c>
      <c r="AK84" s="21" t="inlineStr">
        <is>
          <t>N/A</t>
        </is>
      </c>
    </row>
    <row r="85" hidden="1" ht="15" customHeight="1">
      <c r="A85" s="25" t="inlineStr">
        <is>
          <t>00-177</t>
        </is>
      </c>
      <c r="B85" s="25" t="inlineStr">
        <is>
          <t>EDIFICIOS PUERTO NIZUC FIDEICOMISO</t>
        </is>
      </c>
      <c r="C85" s="22" t="inlineStr">
        <is>
          <t>Edificios 7 y 8 - Puerto Nizuc</t>
        </is>
      </c>
      <c r="D85" s="13" t="inlineStr">
        <is>
          <t>Edificios 7 a 8</t>
        </is>
      </c>
      <c r="E85" s="13" t="n">
        <v>0</v>
      </c>
      <c r="F85" s="13" t="n"/>
      <c r="G85" s="13" t="inlineStr">
        <is>
          <t>Anticipo</t>
        </is>
      </c>
      <c r="H85" s="13" t="inlineStr">
        <is>
          <t>Anticipo</t>
        </is>
      </c>
      <c r="I85" s="104" t="n"/>
      <c r="J85" s="108" t="n"/>
      <c r="K85" s="108" t="n"/>
      <c r="L85" s="13" t="n"/>
      <c r="M85" s="25" t="inlineStr">
        <is>
          <t>FC A</t>
        </is>
      </c>
      <c r="N85" s="27" t="n">
        <v>2545</v>
      </c>
      <c r="O85" s="106" t="n">
        <v>45964</v>
      </c>
      <c r="P85" s="25" t="inlineStr">
        <is>
          <t>Anticipo de Obra 20 %. - Edificios 5 al 8 - Puerto Nizuc (00177)</t>
        </is>
      </c>
      <c r="Q85" s="25" t="inlineStr">
        <is>
          <t>ANULADA</t>
        </is>
      </c>
      <c r="R85" s="25" t="n">
        <v>362</v>
      </c>
      <c r="S85" s="105">
        <f>+J85</f>
        <v/>
      </c>
      <c r="T85" s="108" t="n"/>
      <c r="U85" s="108">
        <f>+S85*21%</f>
        <v/>
      </c>
      <c r="V85" s="108">
        <f>+S85*3%</f>
        <v/>
      </c>
      <c r="W85" s="108">
        <f>+S85*0.3%</f>
        <v/>
      </c>
      <c r="X85" s="108">
        <f>IF(A85="00-175",S85*0.06,0)</f>
        <v/>
      </c>
      <c r="Y85" s="108" t="n"/>
      <c r="Z85" s="108" t="n"/>
      <c r="AA85" s="108">
        <f>+S85+T85+U85+W85+X85+V85+Y85</f>
        <v/>
      </c>
      <c r="AB85" s="109" t="n"/>
      <c r="AC85" s="108" t="n"/>
      <c r="AD85" s="22" t="n"/>
      <c r="AE85" s="105" t="n"/>
      <c r="AF85" s="22" t="n"/>
      <c r="AG85" s="105" t="n"/>
      <c r="AH85" s="108" t="n"/>
      <c r="AI85" s="105">
        <f>+AC85+AE85+AG85+AH85</f>
        <v/>
      </c>
      <c r="AJ85" s="105">
        <f>+AA85-AI85</f>
        <v/>
      </c>
      <c r="AK85" s="21">
        <f>IF(Q85="ANULADA","N/A",IF(ABS(AJ85)&gt;10,"Pendiente",IF(MAX(AB85,AD85,AF85)=0,"Pendiente",MAX(0,MAX(AB85,AD85,AF85)-O85))))</f>
        <v/>
      </c>
    </row>
    <row r="86" hidden="1" ht="15" customHeight="1">
      <c r="A86" s="25" t="inlineStr">
        <is>
          <t>00-177</t>
        </is>
      </c>
      <c r="B86" s="25" t="inlineStr">
        <is>
          <t>EDIFICIOS PUERTO NIZUC FIDEICOMISO</t>
        </is>
      </c>
      <c r="C86" s="22" t="inlineStr">
        <is>
          <t>Edificios 7 y 8 - Puerto Nizuc</t>
        </is>
      </c>
      <c r="D86" s="13" t="inlineStr">
        <is>
          <t>Edificios 7 a 8</t>
        </is>
      </c>
      <c r="E86" s="13" t="n"/>
      <c r="F86" s="13" t="n"/>
      <c r="G86" s="13" t="inlineStr">
        <is>
          <t>Anticipo</t>
        </is>
      </c>
      <c r="H86" s="13" t="inlineStr">
        <is>
          <t>Anticipo</t>
        </is>
      </c>
      <c r="I86" s="104" t="n"/>
      <c r="J86" s="108" t="n">
        <v>0</v>
      </c>
      <c r="K86" s="108" t="n">
        <v>4837006172.45</v>
      </c>
      <c r="L86" s="13" t="inlineStr">
        <is>
          <t>Validado</t>
        </is>
      </c>
      <c r="M86" s="25" t="inlineStr">
        <is>
          <t>FC A</t>
        </is>
      </c>
      <c r="N86" s="27" t="n">
        <v>2546</v>
      </c>
      <c r="O86" s="106" t="n">
        <v>45964</v>
      </c>
      <c r="P86" s="25" t="inlineStr">
        <is>
          <t>Anticipo de Obra. - Edificios 5 al 8 - Puerto Nizuc (00177)</t>
        </is>
      </c>
      <c r="Q86" s="25" t="inlineStr">
        <is>
          <t>NO</t>
        </is>
      </c>
      <c r="R86" s="25" t="inlineStr">
        <is>
          <t>N/A</t>
        </is>
      </c>
      <c r="S86" s="108" t="n">
        <v>4837006172.45</v>
      </c>
      <c r="T86" s="108" t="n">
        <v>507885648.11</v>
      </c>
      <c r="U86" s="108">
        <f>+S86*21%</f>
        <v/>
      </c>
      <c r="V86" s="108">
        <f>+S86*3%</f>
        <v/>
      </c>
      <c r="W86" s="108" t="n">
        <v>145110185.17</v>
      </c>
      <c r="X86" s="108" t="n">
        <v>169295216.04</v>
      </c>
      <c r="Y86" s="108" t="n"/>
      <c r="Z86" s="108" t="n"/>
      <c r="AA86" s="108" t="n">
        <v>5659297221.77</v>
      </c>
      <c r="AB86" s="109" t="n">
        <v>46007</v>
      </c>
      <c r="AC86" s="108" t="n">
        <v>822291049.3200001</v>
      </c>
      <c r="AD86" s="113" t="n">
        <v>46022</v>
      </c>
      <c r="AE86" s="108" t="n">
        <v>4837006172.45</v>
      </c>
      <c r="AF86" s="22" t="n"/>
      <c r="AG86" s="105" t="n"/>
      <c r="AH86" s="105" t="n"/>
      <c r="AI86" s="105">
        <f>+AC86+AE86+AG86+AH86+101000000</f>
        <v/>
      </c>
      <c r="AJ86" s="105">
        <f>+AA86-AI86</f>
        <v/>
      </c>
      <c r="AK86" s="21" t="n">
        <v>0</v>
      </c>
    </row>
    <row r="87" hidden="1" ht="15" customHeight="1">
      <c r="A87" s="39" t="inlineStr">
        <is>
          <t>00-177</t>
        </is>
      </c>
      <c r="B87" s="25" t="inlineStr">
        <is>
          <t>EDIFICIOS PUERTO NIZUC FIDEICOMISO</t>
        </is>
      </c>
      <c r="C87" s="22" t="inlineStr">
        <is>
          <t>Edificios 7 y 8 - Puerto Nizuc</t>
        </is>
      </c>
      <c r="D87" s="13" t="inlineStr">
        <is>
          <t>Edificios 7 a 8</t>
        </is>
      </c>
      <c r="E87" s="13" t="n"/>
      <c r="F87" s="13" t="n"/>
      <c r="G87" s="13" t="inlineStr">
        <is>
          <t>Anticipo</t>
        </is>
      </c>
      <c r="H87" s="13" t="inlineStr">
        <is>
          <t>Anticipo</t>
        </is>
      </c>
      <c r="I87" s="104" t="n"/>
      <c r="J87" s="105" t="n"/>
      <c r="K87" s="105" t="n"/>
      <c r="L87" s="13" t="n"/>
      <c r="M87" s="39" t="inlineStr">
        <is>
          <t>FC A</t>
        </is>
      </c>
      <c r="N87" s="39" t="n">
        <v>2579</v>
      </c>
      <c r="O87" s="106" t="n">
        <v>46053</v>
      </c>
      <c r="P87" s="39" t="inlineStr">
        <is>
          <t>Anticipo de Obra. - Edificios 5 al 8 - Puerto Nizuc (00177)</t>
        </is>
      </c>
      <c r="Q87" s="39" t="inlineStr">
        <is>
          <t>ANULADA</t>
        </is>
      </c>
      <c r="R87" s="39" t="n">
        <v>363</v>
      </c>
      <c r="S87" s="105">
        <f>+J87</f>
        <v/>
      </c>
      <c r="T87" s="105" t="n"/>
      <c r="U87" s="105">
        <f>+S87*21%</f>
        <v/>
      </c>
      <c r="V87" s="105">
        <f>+S87*3%</f>
        <v/>
      </c>
      <c r="W87" s="105">
        <f>+S87*0.3%</f>
        <v/>
      </c>
      <c r="X87" s="105">
        <f>IF(A87="00-175",S87*0.06,0)</f>
        <v/>
      </c>
      <c r="Y87" s="105" t="n"/>
      <c r="Z87" s="105" t="n"/>
      <c r="AA87" s="105">
        <f>+S87+T87+U87+W87+X87+V87+Y87</f>
        <v/>
      </c>
      <c r="AB87" s="39" t="n"/>
      <c r="AC87" s="105" t="n"/>
      <c r="AD87" s="39" t="n"/>
      <c r="AE87" s="105" t="n"/>
      <c r="AF87" s="39" t="n"/>
      <c r="AG87" s="105" t="n"/>
      <c r="AH87" s="105" t="n"/>
      <c r="AI87" s="105">
        <f>+AC87+AE87+AG87+AH87</f>
        <v/>
      </c>
      <c r="AJ87" s="105">
        <f>+AA87-AI87</f>
        <v/>
      </c>
      <c r="AK87" s="21">
        <f>IF(Q87="ANULADA","N/A",IF(ABS(AJ87)&gt;10,"Pendiente",IF(MAX(AB87,AD87,AF87)=0,"Pendiente",MAX(0,MAX(AB87,AD87,AF87)-O87))))</f>
        <v/>
      </c>
    </row>
    <row r="88" hidden="1" ht="15" customHeight="1">
      <c r="A88" s="22" t="inlineStr">
        <is>
          <t>00-177</t>
        </is>
      </c>
      <c r="B88" s="25" t="inlineStr">
        <is>
          <t>EDIFICIOS PUERTO NIZUC FIDEICOMISO</t>
        </is>
      </c>
      <c r="C88" s="22" t="inlineStr">
        <is>
          <t>Edificios 7 y 8 - Puerto Nizuc</t>
        </is>
      </c>
      <c r="D88" s="13" t="inlineStr">
        <is>
          <t>Edificios 7 a 8</t>
        </is>
      </c>
      <c r="E88" s="13" t="n">
        <v>1</v>
      </c>
      <c r="F88" s="13" t="inlineStr">
        <is>
          <t>Básico Nº 1 Cap 1 Dic'25 + CyC Nº 1 Cap 2-31 Oct/Nov/Dic'25</t>
        </is>
      </c>
      <c r="G88" s="13" t="inlineStr">
        <is>
          <t>Básico</t>
        </is>
      </c>
      <c r="H88" s="23" t="n">
        <v>45992</v>
      </c>
      <c r="I88" s="105" t="n">
        <v>2287315809.09</v>
      </c>
      <c r="J88" s="105" t="n">
        <v>2287315809.09</v>
      </c>
      <c r="K88" s="105" t="n">
        <v>0</v>
      </c>
      <c r="L88" s="13" t="inlineStr">
        <is>
          <t>Validado</t>
        </is>
      </c>
      <c r="M88" s="22" t="inlineStr">
        <is>
          <t>FC A</t>
        </is>
      </c>
      <c r="N88" s="38" t="n">
        <v>2614</v>
      </c>
      <c r="O88" s="106" t="n">
        <v>46162</v>
      </c>
      <c r="P88" s="22" t="inlineStr">
        <is>
          <t>Certificado Básico Nº 1 - Cap 1 - Dic'25 / Costes y Costas Nº 1 - Cap 2-31 - Oct, Nov, Dic'25</t>
        </is>
      </c>
      <c r="Q88" s="22" t="inlineStr">
        <is>
          <t>NO</t>
        </is>
      </c>
      <c r="R88" s="22" t="inlineStr">
        <is>
          <t>N/A</t>
        </is>
      </c>
      <c r="S88" s="105" t="n">
        <v>2287315809.09</v>
      </c>
      <c r="T88" s="105" t="n">
        <v>240168159.95</v>
      </c>
      <c r="U88" s="105" t="n">
        <v>0</v>
      </c>
      <c r="V88" s="105" t="n">
        <v>0</v>
      </c>
      <c r="W88" s="105" t="n">
        <v>68619474.27</v>
      </c>
      <c r="X88" s="105" t="n">
        <v>80056053.31999999</v>
      </c>
      <c r="Y88" s="105" t="n">
        <v>0</v>
      </c>
      <c r="Z88" s="105" t="n">
        <v>34309737.14</v>
      </c>
      <c r="AA88" s="105" t="n">
        <v>2710469233.77</v>
      </c>
      <c r="AB88" s="109" t="n">
        <v>46007</v>
      </c>
      <c r="AC88" s="105" t="n">
        <v>0</v>
      </c>
      <c r="AD88" s="22" t="n"/>
      <c r="AE88" s="105" t="n"/>
      <c r="AF88" s="22" t="n"/>
      <c r="AG88" s="105" t="n"/>
      <c r="AH88" s="105" t="n"/>
      <c r="AI88" s="105" t="n">
        <v>0</v>
      </c>
      <c r="AJ88" s="105" t="n">
        <v>0</v>
      </c>
      <c r="AK88" s="21" t="inlineStr">
        <is>
          <t>N/A</t>
        </is>
      </c>
    </row>
    <row r="89" hidden="1" ht="15" customHeight="1">
      <c r="A89" s="12" t="inlineStr">
        <is>
          <t>00-177</t>
        </is>
      </c>
      <c r="B89" s="12" t="inlineStr">
        <is>
          <t>EDIFICIOS PUERTO NIZUC FIDEICOMISO</t>
        </is>
      </c>
      <c r="C89" s="22" t="inlineStr">
        <is>
          <t>Edificios 7 y 8 - Puerto Nizuc</t>
        </is>
      </c>
      <c r="D89" s="13" t="inlineStr">
        <is>
          <t>Edificios 7 a 8</t>
        </is>
      </c>
      <c r="E89" s="13" t="n">
        <v>1</v>
      </c>
      <c r="F89" s="13" t="inlineStr">
        <is>
          <t>Redet. Provisorio Nº 1 Cap Nº 1 Dic'25</t>
        </is>
      </c>
      <c r="G89" s="13" t="inlineStr">
        <is>
          <t>Redet.</t>
        </is>
      </c>
      <c r="H89" s="23" t="n">
        <v>45992</v>
      </c>
      <c r="I89" s="105" t="n">
        <v>41089359.94</v>
      </c>
      <c r="J89" s="105" t="n">
        <v>41089359.94</v>
      </c>
      <c r="K89" s="105" t="n">
        <v>0</v>
      </c>
      <c r="L89" s="13" t="inlineStr">
        <is>
          <t>Validado</t>
        </is>
      </c>
      <c r="M89" s="12" t="inlineStr">
        <is>
          <t>FC A</t>
        </is>
      </c>
      <c r="N89" s="38" t="n">
        <v>2615</v>
      </c>
      <c r="O89" s="106" t="n">
        <v>46162</v>
      </c>
      <c r="P89" s="12" t="inlineStr">
        <is>
          <t>Certificado Redeterminado Provisorio Nº 1 - Cap Nº 1 Dic'25</t>
        </is>
      </c>
      <c r="Q89" s="18" t="inlineStr">
        <is>
          <t>NO</t>
        </is>
      </c>
      <c r="R89" s="18" t="inlineStr">
        <is>
          <t>N/A</t>
        </is>
      </c>
      <c r="S89" s="105" t="n">
        <v>41089359.94</v>
      </c>
      <c r="T89" s="105" t="n">
        <v>4314382.79</v>
      </c>
      <c r="U89" s="105" t="n">
        <v>0</v>
      </c>
      <c r="V89" s="105" t="n">
        <v>0</v>
      </c>
      <c r="W89" s="105" t="n">
        <v>1232680.8</v>
      </c>
      <c r="X89" s="105" t="n">
        <v>1438127.6</v>
      </c>
      <c r="Y89" s="105" t="n">
        <v>0</v>
      </c>
      <c r="Z89" s="105" t="n">
        <v>616340.4</v>
      </c>
      <c r="AA89" s="105" t="n">
        <v>48690891.53</v>
      </c>
      <c r="AB89" s="109" t="n">
        <v>46007</v>
      </c>
      <c r="AC89" s="105" t="n">
        <v>0</v>
      </c>
      <c r="AD89" s="20" t="n"/>
      <c r="AE89" s="105" t="n"/>
      <c r="AF89" s="12" t="n"/>
      <c r="AG89" s="105" t="n"/>
      <c r="AH89" s="105" t="n"/>
      <c r="AI89" s="105" t="n">
        <v>0</v>
      </c>
      <c r="AJ89" s="105" t="n">
        <v>0</v>
      </c>
      <c r="AK89" s="21" t="inlineStr">
        <is>
          <t>N/A</t>
        </is>
      </c>
    </row>
    <row r="90" hidden="1" ht="15" customHeight="1">
      <c r="A90" s="22" t="inlineStr">
        <is>
          <t>00-177</t>
        </is>
      </c>
      <c r="B90" s="25" t="inlineStr">
        <is>
          <t>EDIFICIOS PUERTO NIZUC FIDEICOMISO</t>
        </is>
      </c>
      <c r="C90" s="22" t="inlineStr">
        <is>
          <t>Edificios 7 y 8 - Puerto Nizuc</t>
        </is>
      </c>
      <c r="D90" s="13" t="inlineStr">
        <is>
          <t>Edificios 7 a 8</t>
        </is>
      </c>
      <c r="E90" s="13" t="n">
        <v>2</v>
      </c>
      <c r="F90" s="13" t="inlineStr">
        <is>
          <t>Básico Nº 2 Cap 1 Ene'26 + CyC Nº 2 Cap 2-31 Ene'26</t>
        </is>
      </c>
      <c r="G90" s="13" t="inlineStr">
        <is>
          <t>Básico</t>
        </is>
      </c>
      <c r="H90" s="23" t="n">
        <v>46023</v>
      </c>
      <c r="I90" s="105" t="n">
        <v>1472030553.01</v>
      </c>
      <c r="J90" s="105" t="n">
        <v>1472030553.01</v>
      </c>
      <c r="K90" s="105" t="n">
        <v>0</v>
      </c>
      <c r="L90" s="13" t="inlineStr">
        <is>
          <t>Validado</t>
        </is>
      </c>
      <c r="M90" s="22" t="inlineStr">
        <is>
          <t>FC A</t>
        </is>
      </c>
      <c r="N90" s="38" t="n">
        <v>2616</v>
      </c>
      <c r="O90" s="106" t="n">
        <v>46162</v>
      </c>
      <c r="P90" s="22" t="inlineStr">
        <is>
          <t>Certificado Básico Nº 2 - Cap 1 - Ene'26 / Costes y Costas Nº 2 - Cap 2-31 - Ene'26</t>
        </is>
      </c>
      <c r="Q90" s="22" t="inlineStr">
        <is>
          <t>NO</t>
        </is>
      </c>
      <c r="R90" s="22" t="inlineStr">
        <is>
          <t>N/A</t>
        </is>
      </c>
      <c r="S90" s="105" t="n">
        <v>1472030553.01</v>
      </c>
      <c r="T90" s="105" t="n">
        <v>154563208.07</v>
      </c>
      <c r="U90" s="105" t="n">
        <v>0</v>
      </c>
      <c r="V90" s="105" t="n">
        <v>0</v>
      </c>
      <c r="W90" s="105" t="n">
        <v>44160916.59</v>
      </c>
      <c r="X90" s="105" t="n">
        <v>51521069.36</v>
      </c>
      <c r="Y90" s="105" t="n">
        <v>0</v>
      </c>
      <c r="Z90" s="105" t="n">
        <v>22080458.3</v>
      </c>
      <c r="AA90" s="105" t="n">
        <v>1744356205.33</v>
      </c>
      <c r="AB90" s="109" t="n">
        <v>46007</v>
      </c>
      <c r="AC90" s="105" t="n">
        <v>0</v>
      </c>
      <c r="AD90" s="22" t="n"/>
      <c r="AE90" s="105" t="n"/>
      <c r="AF90" s="22" t="n"/>
      <c r="AG90" s="105" t="n"/>
      <c r="AH90" s="105" t="n"/>
      <c r="AI90" s="105" t="n">
        <v>0</v>
      </c>
      <c r="AJ90" s="105" t="n">
        <v>0</v>
      </c>
      <c r="AK90" s="21" t="inlineStr">
        <is>
          <t>N/A</t>
        </is>
      </c>
    </row>
    <row r="91" hidden="1" ht="15" customHeight="1">
      <c r="A91" s="12" t="inlineStr">
        <is>
          <t>00-177</t>
        </is>
      </c>
      <c r="B91" s="12" t="inlineStr">
        <is>
          <t>EDIFICIOS PUERTO NIZUC FIDEICOMISO</t>
        </is>
      </c>
      <c r="C91" s="22" t="inlineStr">
        <is>
          <t>Edificios 7 y 8 - Puerto Nizuc</t>
        </is>
      </c>
      <c r="D91" s="13" t="inlineStr">
        <is>
          <t>Edificios 7 a 8</t>
        </is>
      </c>
      <c r="E91" s="13" t="n">
        <v>2</v>
      </c>
      <c r="F91" s="13" t="inlineStr">
        <is>
          <t>Redet. Prov. Nº 2 Cap Nº 1 Ene'26 + Redet. Def. Nº 1 Cap Nº 1 Dic'25</t>
        </is>
      </c>
      <c r="G91" s="13" t="inlineStr">
        <is>
          <t>Redet.</t>
        </is>
      </c>
      <c r="H91" s="23" t="n">
        <v>46023</v>
      </c>
      <c r="I91" s="105" t="n">
        <v>72697073.41</v>
      </c>
      <c r="J91" s="105" t="n">
        <v>72697073.41</v>
      </c>
      <c r="K91" s="105" t="n">
        <v>0</v>
      </c>
      <c r="L91" s="13" t="inlineStr">
        <is>
          <t>Validado</t>
        </is>
      </c>
      <c r="M91" s="12" t="inlineStr">
        <is>
          <t>FC A</t>
        </is>
      </c>
      <c r="N91" s="38" t="n">
        <v>2617</v>
      </c>
      <c r="O91" s="106" t="n">
        <v>46162</v>
      </c>
      <c r="P91" s="12" t="inlineStr">
        <is>
          <t>Certificado Redet. Provisorio Nº 2 - Cap Nº 1 Ene'26 / Redet. Definitivo Nº 1 - Cap Nº 1 Dic'25</t>
        </is>
      </c>
      <c r="Q91" s="18" t="inlineStr">
        <is>
          <t>NO</t>
        </is>
      </c>
      <c r="R91" s="18" t="inlineStr">
        <is>
          <t>N/A</t>
        </is>
      </c>
      <c r="S91" s="105" t="n">
        <v>72697073.41</v>
      </c>
      <c r="T91" s="105" t="n">
        <v>7633192.71</v>
      </c>
      <c r="U91" s="105" t="n">
        <v>0</v>
      </c>
      <c r="V91" s="105" t="n">
        <v>0</v>
      </c>
      <c r="W91" s="105" t="n">
        <v>2180912.2</v>
      </c>
      <c r="X91" s="105" t="n">
        <v>2544397.57</v>
      </c>
      <c r="Y91" s="105" t="n">
        <v>0</v>
      </c>
      <c r="Z91" s="105" t="n">
        <v>1090456.1</v>
      </c>
      <c r="AA91" s="105" t="n">
        <v>86146031.98999999</v>
      </c>
      <c r="AB91" s="109" t="n">
        <v>46007</v>
      </c>
      <c r="AC91" s="105" t="n">
        <v>0</v>
      </c>
      <c r="AD91" s="20" t="n"/>
      <c r="AE91" s="105" t="n"/>
      <c r="AF91" s="12" t="n"/>
      <c r="AG91" s="105" t="n"/>
      <c r="AH91" s="105" t="n"/>
      <c r="AI91" s="105" t="n">
        <v>0</v>
      </c>
      <c r="AJ91" s="105" t="n">
        <v>0</v>
      </c>
      <c r="AK91" s="21" t="inlineStr">
        <is>
          <t>N/A</t>
        </is>
      </c>
    </row>
    <row r="92" hidden="1" ht="15" customHeight="1">
      <c r="A92" s="22" t="inlineStr">
        <is>
          <t>00-177</t>
        </is>
      </c>
      <c r="B92" s="25" t="inlineStr">
        <is>
          <t>EDIFICIOS PUERTO NIZUC FIDEICOMISO</t>
        </is>
      </c>
      <c r="C92" s="22" t="inlineStr">
        <is>
          <t>Edificios 7 y 8 - Puerto Nizuc</t>
        </is>
      </c>
      <c r="D92" s="13" t="inlineStr">
        <is>
          <t>Edificios 7 a 8</t>
        </is>
      </c>
      <c r="E92" s="13" t="n">
        <v>3</v>
      </c>
      <c r="F92" s="13" t="inlineStr">
        <is>
          <t>Básico Nº 3 Cap 1 Feb'26 + CyC Nº 3 Cap 2-31 Feb'26</t>
        </is>
      </c>
      <c r="G92" s="13" t="inlineStr">
        <is>
          <t>Básico</t>
        </is>
      </c>
      <c r="H92" s="23" t="n">
        <v>46054</v>
      </c>
      <c r="I92" s="105" t="n">
        <v>809235480.83</v>
      </c>
      <c r="J92" s="105" t="n">
        <v>809235480.83</v>
      </c>
      <c r="K92" s="105" t="n">
        <v>0</v>
      </c>
      <c r="L92" s="13" t="inlineStr">
        <is>
          <t>Validado</t>
        </is>
      </c>
      <c r="M92" s="22" t="inlineStr">
        <is>
          <t>FC A</t>
        </is>
      </c>
      <c r="N92" s="38" t="n">
        <v>2618</v>
      </c>
      <c r="O92" s="106" t="n">
        <v>46162</v>
      </c>
      <c r="P92" s="22" t="inlineStr">
        <is>
          <t>Certificado Básico Nº 3 - Cap 1 - Feb'26 / Costes y Costas Nº 3 - Cap 2-31 - Feb'26</t>
        </is>
      </c>
      <c r="Q92" s="22" t="inlineStr">
        <is>
          <t>NO</t>
        </is>
      </c>
      <c r="R92" s="22" t="inlineStr">
        <is>
          <t>N/A</t>
        </is>
      </c>
      <c r="S92" s="105" t="n">
        <v>809235480.83</v>
      </c>
      <c r="T92" s="105" t="n">
        <v>84969725.48999999</v>
      </c>
      <c r="U92" s="105" t="n">
        <v>0</v>
      </c>
      <c r="V92" s="105" t="n">
        <v>0</v>
      </c>
      <c r="W92" s="105" t="n">
        <v>24277064.42</v>
      </c>
      <c r="X92" s="105" t="n">
        <v>28323241.83</v>
      </c>
      <c r="Y92" s="105" t="n">
        <v>0</v>
      </c>
      <c r="Z92" s="105" t="n">
        <v>12138532.21</v>
      </c>
      <c r="AA92" s="105" t="n">
        <v>958944044.78</v>
      </c>
      <c r="AB92" s="109" t="n">
        <v>46007</v>
      </c>
      <c r="AC92" s="105" t="n">
        <v>0</v>
      </c>
      <c r="AD92" s="22" t="n"/>
      <c r="AE92" s="105" t="n"/>
      <c r="AF92" s="22" t="n"/>
      <c r="AG92" s="105" t="n"/>
      <c r="AH92" s="105" t="n"/>
      <c r="AI92" s="105" t="n">
        <v>0</v>
      </c>
      <c r="AJ92" s="105" t="n">
        <v>0</v>
      </c>
      <c r="AK92" s="21" t="inlineStr">
        <is>
          <t>N/A</t>
        </is>
      </c>
    </row>
    <row r="93" hidden="1" ht="15" customHeight="1">
      <c r="A93" s="12" t="inlineStr">
        <is>
          <t>00-177</t>
        </is>
      </c>
      <c r="B93" s="12" t="inlineStr">
        <is>
          <t>EDIFICIOS PUERTO NIZUC FIDEICOMISO</t>
        </is>
      </c>
      <c r="C93" s="22" t="inlineStr">
        <is>
          <t>Edificios 7 y 8 - Puerto Nizuc</t>
        </is>
      </c>
      <c r="D93" s="13" t="inlineStr">
        <is>
          <t>Edificios 7 a 8</t>
        </is>
      </c>
      <c r="E93" s="13" t="n">
        <v>3</v>
      </c>
      <c r="F93" s="13" t="inlineStr">
        <is>
          <t>Redet. Prov. Nº 3 Cap Nº 1 Feb'26 + Redet. Def. Nº 2 Cap Nº 1 Ene'26</t>
        </is>
      </c>
      <c r="G93" s="13" t="inlineStr">
        <is>
          <t>Redet.</t>
        </is>
      </c>
      <c r="H93" s="23" t="n">
        <v>46054</v>
      </c>
      <c r="I93" s="105" t="n">
        <v>50219657.58</v>
      </c>
      <c r="J93" s="105" t="n">
        <v>50219657.58</v>
      </c>
      <c r="K93" s="105" t="n">
        <v>0</v>
      </c>
      <c r="L93" s="13" t="inlineStr">
        <is>
          <t>Validado</t>
        </is>
      </c>
      <c r="M93" s="12" t="inlineStr">
        <is>
          <t>FC A</t>
        </is>
      </c>
      <c r="N93" s="38" t="n">
        <v>2619</v>
      </c>
      <c r="O93" s="106" t="n">
        <v>46162</v>
      </c>
      <c r="P93" s="12" t="inlineStr">
        <is>
          <t>Certificado Redet. Provisorio Nº 3 - Cap Nº 1 Feb'26 / Redet. Definitivo Nº 2 - Cap Nº 1 Ene'26</t>
        </is>
      </c>
      <c r="Q93" s="18" t="inlineStr">
        <is>
          <t>NO</t>
        </is>
      </c>
      <c r="R93" s="18" t="inlineStr">
        <is>
          <t>N/A</t>
        </is>
      </c>
      <c r="S93" s="105" t="n">
        <v>50219657.58</v>
      </c>
      <c r="T93" s="105" t="n">
        <v>5273064.05</v>
      </c>
      <c r="U93" s="105" t="n">
        <v>0</v>
      </c>
      <c r="V93" s="105" t="n">
        <v>0</v>
      </c>
      <c r="W93" s="105" t="n">
        <v>1506589.73</v>
      </c>
      <c r="X93" s="105" t="n">
        <v>1757688.02</v>
      </c>
      <c r="Y93" s="105" t="n">
        <v>0</v>
      </c>
      <c r="Z93" s="105" t="n">
        <v>753294.86</v>
      </c>
      <c r="AA93" s="105" t="n">
        <v>59510294.24</v>
      </c>
      <c r="AB93" s="109" t="n">
        <v>46007</v>
      </c>
      <c r="AC93" s="105" t="n">
        <v>0</v>
      </c>
      <c r="AD93" s="20" t="n"/>
      <c r="AE93" s="105" t="n"/>
      <c r="AF93" s="12" t="n"/>
      <c r="AG93" s="105" t="n"/>
      <c r="AH93" s="105" t="n"/>
      <c r="AI93" s="105" t="n">
        <v>0</v>
      </c>
      <c r="AJ93" s="105" t="n">
        <v>0</v>
      </c>
      <c r="AK93" s="21" t="inlineStr">
        <is>
          <t>N/A</t>
        </is>
      </c>
    </row>
    <row r="94" hidden="1" ht="15" customHeight="1">
      <c r="A94" s="22" t="inlineStr">
        <is>
          <t>00-177</t>
        </is>
      </c>
      <c r="B94" s="25" t="inlineStr">
        <is>
          <t>EDIFICIOS PUERTO NIZUC FIDEICOMISO</t>
        </is>
      </c>
      <c r="C94" s="22" t="inlineStr">
        <is>
          <t>Edificios 7 y 8 - Puerto Nizuc</t>
        </is>
      </c>
      <c r="D94" s="13" t="inlineStr">
        <is>
          <t>Edificios 7 a 8</t>
        </is>
      </c>
      <c r="E94" s="13" t="n">
        <v>4</v>
      </c>
      <c r="F94" s="13" t="inlineStr">
        <is>
          <t>Básico Nº 4 Cap 1 Mar'26 + CyC Nº 4 Cap 2-31 Mar'26 + Dev. Anticipo Financiero</t>
        </is>
      </c>
      <c r="G94" s="13" t="inlineStr">
        <is>
          <t>Básico</t>
        </is>
      </c>
      <c r="H94" s="23" t="n">
        <v>46082</v>
      </c>
      <c r="I94" s="105">
        <f>+J94-K94</f>
        <v/>
      </c>
      <c r="J94" s="105" t="n">
        <v>740743917.03</v>
      </c>
      <c r="K94" s="105" t="n">
        <v>399057656.6</v>
      </c>
      <c r="L94" s="13" t="inlineStr">
        <is>
          <t>Validado</t>
        </is>
      </c>
      <c r="M94" s="22" t="inlineStr">
        <is>
          <t>FC A</t>
        </is>
      </c>
      <c r="N94" s="38" t="n">
        <v>2620</v>
      </c>
      <c r="O94" s="106" t="n">
        <v>46162</v>
      </c>
      <c r="P94" s="22" t="inlineStr">
        <is>
          <t>Certificado Básico Nº 4 - Cap 1 - Mar'26 / Costes y Costas Nº 4 - Cap 2-31 - Mar'26 / Dev. Anticipo Financiero</t>
        </is>
      </c>
      <c r="Q94" s="22" t="inlineStr">
        <is>
          <t>NO</t>
        </is>
      </c>
      <c r="R94" s="22" t="inlineStr">
        <is>
          <t>N/A</t>
        </is>
      </c>
      <c r="S94" s="105" t="n">
        <v>399057656.6</v>
      </c>
      <c r="T94" s="105" t="n">
        <v>41901053.94</v>
      </c>
      <c r="U94" s="105" t="n">
        <v>0</v>
      </c>
      <c r="V94" s="105" t="n">
        <v>0</v>
      </c>
      <c r="W94" s="105" t="n">
        <v>11971729.7</v>
      </c>
      <c r="X94" s="105" t="n">
        <v>13967017.98</v>
      </c>
      <c r="Y94" s="105" t="n">
        <v>0</v>
      </c>
      <c r="Z94" s="105" t="n">
        <v>5985864.85</v>
      </c>
      <c r="AA94" s="105" t="n">
        <v>472883323.07</v>
      </c>
      <c r="AB94" s="106" t="n">
        <v>46164</v>
      </c>
      <c r="AC94" s="105" t="n">
        <v>398342459.29</v>
      </c>
      <c r="AD94" s="22" t="n"/>
      <c r="AE94" s="105" t="n"/>
      <c r="AF94" s="22" t="n"/>
      <c r="AG94" s="105" t="n"/>
      <c r="AH94" s="105" t="n"/>
      <c r="AI94" s="105">
        <f>+AC94</f>
        <v/>
      </c>
      <c r="AJ94" s="105">
        <f>+AA94-AI94-AI95</f>
        <v/>
      </c>
      <c r="AK94" s="21" t="inlineStr">
        <is>
          <t>N/A</t>
        </is>
      </c>
    </row>
    <row r="95" hidden="1" ht="15" customHeight="1">
      <c r="A95" s="12" t="inlineStr">
        <is>
          <t>00-177</t>
        </is>
      </c>
      <c r="B95" s="12" t="inlineStr">
        <is>
          <t>EDIFICIOS PUERTO NIZUC FIDEICOMISO</t>
        </is>
      </c>
      <c r="C95" s="22" t="inlineStr">
        <is>
          <t>Edificios 7 y 8 - Puerto Nizuc</t>
        </is>
      </c>
      <c r="D95" s="13" t="inlineStr">
        <is>
          <t>Edificios 7 a 8</t>
        </is>
      </c>
      <c r="E95" s="13" t="n">
        <v>4</v>
      </c>
      <c r="F95" s="13" t="inlineStr">
        <is>
          <t>Redet. Prov. Nº 4 Cap Nº 1 Mar'26 + Redet. Def. Nº 3 Cap Nº 1 Feb'26</t>
        </is>
      </c>
      <c r="G95" s="13" t="inlineStr">
        <is>
          <t>Redet.</t>
        </is>
      </c>
      <c r="H95" s="23" t="n">
        <v>46082</v>
      </c>
      <c r="I95" s="105" t="n">
        <v>26342887.75</v>
      </c>
      <c r="J95" s="105" t="n">
        <v>26342887.75</v>
      </c>
      <c r="K95" s="105" t="n">
        <v>0</v>
      </c>
      <c r="L95" s="13" t="inlineStr">
        <is>
          <t>Validado</t>
        </is>
      </c>
      <c r="M95" s="12" t="inlineStr">
        <is>
          <t>FC A</t>
        </is>
      </c>
      <c r="N95" s="38" t="n">
        <v>2621</v>
      </c>
      <c r="O95" s="106" t="n">
        <v>46162</v>
      </c>
      <c r="P95" s="12" t="inlineStr">
        <is>
          <t>Certificado Redet. Provisorio Nº 4 - Cap Nº 1 Mar'26 / Redet. Definitivo Nº 3 - Cap Nº 1 Feb'26</t>
        </is>
      </c>
      <c r="Q95" s="18" t="inlineStr">
        <is>
          <t>NO</t>
        </is>
      </c>
      <c r="R95" s="18" t="inlineStr">
        <is>
          <t>N/A</t>
        </is>
      </c>
      <c r="S95" s="105" t="n">
        <v>26342887.75</v>
      </c>
      <c r="T95" s="105" t="n">
        <v>2766003.21</v>
      </c>
      <c r="U95" s="105" t="n">
        <v>0</v>
      </c>
      <c r="V95" s="105" t="n">
        <v>0</v>
      </c>
      <c r="W95" s="105" t="n">
        <v>790286.63</v>
      </c>
      <c r="X95" s="105" t="n">
        <v>922001.0699999999</v>
      </c>
      <c r="Y95" s="105" t="n">
        <v>0</v>
      </c>
      <c r="Z95" s="105" t="n">
        <v>395143.32</v>
      </c>
      <c r="AA95" s="105" t="n">
        <v>31216321.98</v>
      </c>
      <c r="AB95" s="106" t="n">
        <v>46164</v>
      </c>
      <c r="AC95" s="105" t="n">
        <v>31216321.98</v>
      </c>
      <c r="AD95" s="20" t="n"/>
      <c r="AE95" s="105" t="n"/>
      <c r="AF95" s="12" t="n"/>
      <c r="AG95" s="105" t="n"/>
      <c r="AH95" s="105" t="n"/>
      <c r="AI95" s="105">
        <f>+AC95</f>
        <v/>
      </c>
      <c r="AJ95" s="105" t="n">
        <v>0</v>
      </c>
      <c r="AK95" s="21">
        <f>IF(Q95="ANULADA","N/A",IF(ABS(AJ95)&gt;10,"Pendiente",IF(MAX(AB95,AD95,AF95)=0,"Pendiente",MAX(0,MAX(AB95,AD95,AF95)-O95))))</f>
        <v/>
      </c>
    </row>
    <row r="96" hidden="1" ht="15" customHeight="1">
      <c r="A96" s="22" t="inlineStr">
        <is>
          <t>00-177</t>
        </is>
      </c>
      <c r="B96" s="25" t="inlineStr">
        <is>
          <t>EDIFICIOS PUERTO NIZUC FIDEICOMISO</t>
        </is>
      </c>
      <c r="C96" s="22" t="inlineStr">
        <is>
          <t>Edificios 7 y 8 - Puerto Nizuc</t>
        </is>
      </c>
      <c r="D96" s="13" t="inlineStr">
        <is>
          <t>Edificios 7 a 8</t>
        </is>
      </c>
      <c r="E96" s="13" t="inlineStr">
        <is>
          <t>NA</t>
        </is>
      </c>
      <c r="F96" s="13" t="n"/>
      <c r="G96" s="13" t="inlineStr">
        <is>
          <t>Básico</t>
        </is>
      </c>
      <c r="H96" s="23" t="inlineStr">
        <is>
          <t>NA</t>
        </is>
      </c>
      <c r="I96" s="104" t="n"/>
      <c r="J96" s="105" t="n"/>
      <c r="K96" s="105">
        <f>+J96-I96</f>
        <v/>
      </c>
      <c r="L96" s="13" t="n"/>
      <c r="M96" s="12" t="inlineStr">
        <is>
          <t>FC A</t>
        </is>
      </c>
      <c r="N96" s="24" t="n">
        <v>2623</v>
      </c>
      <c r="O96" s="106" t="n">
        <v>46178</v>
      </c>
      <c r="P96" s="22" t="inlineStr">
        <is>
          <t>Certificado Básico Nº 5 - Capitulo 1 - Abr'26.+Certificado Costes y Costas Nº 5 - Capitulo 2-31 - Abr'26.</t>
        </is>
      </c>
      <c r="Q96" s="25" t="inlineStr">
        <is>
          <t>ANULADA</t>
        </is>
      </c>
      <c r="R96" s="18" t="n">
        <v>637</v>
      </c>
      <c r="S96" s="105" t="n">
        <v>0</v>
      </c>
      <c r="T96" s="105">
        <f>0.105*S96</f>
        <v/>
      </c>
      <c r="U96" s="105" t="n">
        <v>0</v>
      </c>
      <c r="V96" s="105">
        <f>+S96*1.5%</f>
        <v/>
      </c>
      <c r="W96" s="105">
        <f>+S96*3%</f>
        <v/>
      </c>
      <c r="X96" s="105">
        <f>+S96*3.5%</f>
        <v/>
      </c>
      <c r="Y96" s="105" t="n"/>
      <c r="Z96" s="105" t="n"/>
      <c r="AA96" s="105">
        <f>+S96+T96+U96+W96+X96+V96+Y96</f>
        <v/>
      </c>
      <c r="AB96" s="22" t="n"/>
      <c r="AC96" s="105" t="n"/>
      <c r="AD96" s="22" t="n"/>
      <c r="AE96" s="105" t="n"/>
      <c r="AF96" s="22" t="n"/>
      <c r="AG96" s="105" t="n"/>
      <c r="AH96" s="105" t="n"/>
      <c r="AI96" s="105">
        <f>+AC96+AE96+AG96+AH96</f>
        <v/>
      </c>
      <c r="AJ96" s="105">
        <f>+AA96-AI96</f>
        <v/>
      </c>
      <c r="AK96" s="21" t="inlineStr">
        <is>
          <t>N/A</t>
        </is>
      </c>
    </row>
    <row r="97" hidden="1" ht="15" customHeight="1">
      <c r="A97" s="22" t="inlineStr">
        <is>
          <t>00-177</t>
        </is>
      </c>
      <c r="B97" s="25" t="inlineStr">
        <is>
          <t>EDIFICIOS PUERTO NIZUC FIDEICOMISO</t>
        </is>
      </c>
      <c r="C97" s="22" t="inlineStr">
        <is>
          <t>Edificios 7 y 8 - Puerto Nizuc</t>
        </is>
      </c>
      <c r="D97" s="13" t="inlineStr">
        <is>
          <t>Edificios 7 a 8</t>
        </is>
      </c>
      <c r="E97" s="13" t="n">
        <v>5</v>
      </c>
      <c r="F97" s="13" t="inlineStr">
        <is>
          <t>Básico Nº 4 Abril'26</t>
        </is>
      </c>
      <c r="G97" s="13" t="inlineStr">
        <is>
          <t>Básico</t>
        </is>
      </c>
      <c r="H97" s="23" t="n">
        <v>46113</v>
      </c>
      <c r="I97" s="104" t="n">
        <v>5343054.15</v>
      </c>
      <c r="J97" s="105" t="n">
        <v>1129430905.92</v>
      </c>
      <c r="K97" s="105">
        <f>+J97-I97</f>
        <v/>
      </c>
      <c r="L97" s="13" t="inlineStr">
        <is>
          <t>Validado</t>
        </is>
      </c>
      <c r="M97" s="12" t="inlineStr">
        <is>
          <t>FC A</t>
        </is>
      </c>
      <c r="N97" s="38" t="n">
        <v>2624</v>
      </c>
      <c r="O97" s="106" t="n">
        <v>46178</v>
      </c>
      <c r="P97" s="22" t="inlineStr">
        <is>
          <t>Certificado Básico Nº 5 - Capitulo 1 - Abr'26.+Certificado Costes y Costas Nº 5 - Capitulo 2-31 - Abr'26.</t>
        </is>
      </c>
      <c r="Q97" s="18" t="inlineStr">
        <is>
          <t>NO</t>
        </is>
      </c>
      <c r="R97" s="18" t="inlineStr">
        <is>
          <t>N/A</t>
        </is>
      </c>
      <c r="S97" s="105">
        <f>+K97</f>
        <v/>
      </c>
      <c r="T97" s="105">
        <f>0.105*S97</f>
        <v/>
      </c>
      <c r="U97" s="105" t="n">
        <v>0</v>
      </c>
      <c r="V97" s="105">
        <f>+S97*1.5%</f>
        <v/>
      </c>
      <c r="W97" s="105">
        <f>+S97*3%</f>
        <v/>
      </c>
      <c r="X97" s="105">
        <f>+S97*3.5%</f>
        <v/>
      </c>
      <c r="Y97" s="105" t="n"/>
      <c r="Z97" s="105" t="n"/>
      <c r="AA97" s="105">
        <f>+S97+T97+U97+W97+X97+V97+Y97</f>
        <v/>
      </c>
      <c r="AB97" s="22" t="n"/>
      <c r="AC97" s="105" t="n"/>
      <c r="AD97" s="22" t="n"/>
      <c r="AE97" s="105" t="n"/>
      <c r="AF97" s="22" t="n"/>
      <c r="AG97" s="105" t="n"/>
      <c r="AH97" s="105" t="n"/>
      <c r="AI97" s="105">
        <f>+AC97+AE97+AG97+AH97</f>
        <v/>
      </c>
      <c r="AJ97" s="105">
        <f>+AA97-AI97</f>
        <v/>
      </c>
      <c r="AK97" s="21">
        <f>IF(Q97="ANULADA","N/A",IF(ABS(AJ97)&gt;10,"Pendiente",IF(MAX(AB97,AD97,AF97)=0,"Pendiente",MAX(0,MAX(AB97,AD97,AF97)-O97))))</f>
        <v/>
      </c>
    </row>
    <row r="98" hidden="1" ht="15" customHeight="1">
      <c r="A98" s="12" t="inlineStr">
        <is>
          <t>00-177</t>
        </is>
      </c>
      <c r="B98" s="12" t="inlineStr">
        <is>
          <t>EDIFICIOS PUERTO NIZUC FIDEICOMISO</t>
        </is>
      </c>
      <c r="C98" s="22" t="inlineStr">
        <is>
          <t>Edificios 7 y 8 - Puerto Nizuc</t>
        </is>
      </c>
      <c r="D98" s="13" t="inlineStr">
        <is>
          <t>Edificios 7 a 8</t>
        </is>
      </c>
      <c r="E98" s="13" t="n">
        <v>5</v>
      </c>
      <c r="F98" s="13" t="inlineStr">
        <is>
          <t>Redet Nº 4 Abril'26</t>
        </is>
      </c>
      <c r="G98" s="13" t="inlineStr">
        <is>
          <t>Redet.</t>
        </is>
      </c>
      <c r="H98" s="23" t="n">
        <v>46113</v>
      </c>
      <c r="I98" s="104" t="n"/>
      <c r="J98" s="105" t="n">
        <v>33310575.47</v>
      </c>
      <c r="K98" s="105" t="n">
        <v>33310575.47</v>
      </c>
      <c r="L98" s="13" t="inlineStr">
        <is>
          <t>Validado</t>
        </is>
      </c>
      <c r="M98" s="12" t="inlineStr">
        <is>
          <t>FC A</t>
        </is>
      </c>
      <c r="N98" s="38" t="n">
        <v>2625</v>
      </c>
      <c r="O98" s="106" t="n">
        <v>46178</v>
      </c>
      <c r="P98" s="22" t="inlineStr">
        <is>
          <t>Redeterminado Provisorio Nº 5 - Capitulo N° 1 Abr'26. + Redeterminado Definivo Nº 4 - Capitulo N° 1 Mar'26.</t>
        </is>
      </c>
      <c r="Q98" s="22" t="inlineStr">
        <is>
          <t>NO</t>
        </is>
      </c>
      <c r="R98" s="18" t="inlineStr">
        <is>
          <t>N/A</t>
        </is>
      </c>
      <c r="S98" s="105">
        <f>+K98</f>
        <v/>
      </c>
      <c r="T98" s="105">
        <f>0.105*S98</f>
        <v/>
      </c>
      <c r="U98" s="105" t="n"/>
      <c r="V98" s="105">
        <f>+S98*1.5%</f>
        <v/>
      </c>
      <c r="W98" s="105">
        <f>+S98*3%</f>
        <v/>
      </c>
      <c r="X98" s="105">
        <f>+S98*3.5%</f>
        <v/>
      </c>
      <c r="Y98" s="105" t="n"/>
      <c r="Z98" s="105" t="n"/>
      <c r="AA98" s="105">
        <f>+S98+T98+U98+W98+X98+V98+Y98</f>
        <v/>
      </c>
      <c r="AB98" s="22" t="n"/>
      <c r="AC98" s="105" t="n"/>
      <c r="AD98" s="22" t="n"/>
      <c r="AE98" s="105" t="n"/>
      <c r="AF98" s="22" t="n"/>
      <c r="AG98" s="105" t="n"/>
      <c r="AH98" s="105" t="n"/>
      <c r="AI98" s="105">
        <f>+AC98+AE98+AG98+AH98</f>
        <v/>
      </c>
      <c r="AJ98" s="105">
        <f>+AA98-AI98</f>
        <v/>
      </c>
      <c r="AK98" s="21">
        <f>IF(Q98="ANULADA","N/A",IF(ABS(AJ98)&gt;10,"Pendiente",IF(MAX(AB98,AD98,AF98)=0,"Pendiente",MAX(0,MAX(AB98,AD98,AF98)-O98))))</f>
        <v/>
      </c>
    </row>
    <row r="99" hidden="1" ht="15" customHeight="1">
      <c r="A99" s="22" t="inlineStr">
        <is>
          <t>00-177</t>
        </is>
      </c>
      <c r="B99" s="25" t="inlineStr">
        <is>
          <t>EDIFICIOS PUERTO NIZUC FIDEICOMISO</t>
        </is>
      </c>
      <c r="C99" s="22" t="inlineStr">
        <is>
          <t>Edificios 7 y 8 - Puerto Nizuc</t>
        </is>
      </c>
      <c r="D99" s="13" t="inlineStr">
        <is>
          <t>Edificios 7 a 8</t>
        </is>
      </c>
      <c r="E99" s="13" t="n">
        <v>6</v>
      </c>
      <c r="F99" s="13" t="inlineStr">
        <is>
          <t>Básico Nº 5 Mayo'26</t>
        </is>
      </c>
      <c r="G99" s="13" t="inlineStr">
        <is>
          <t>Básico</t>
        </is>
      </c>
      <c r="H99" s="23" t="n">
        <v>46143</v>
      </c>
      <c r="I99" s="104" t="n"/>
      <c r="J99" s="105" t="n">
        <v>1002570729.62</v>
      </c>
      <c r="K99" s="105">
        <f>+J99</f>
        <v/>
      </c>
      <c r="L99" s="13" t="inlineStr">
        <is>
          <t>En Espera</t>
        </is>
      </c>
      <c r="M99" s="22" t="n"/>
      <c r="N99" s="38" t="n"/>
      <c r="O99" s="106" t="n"/>
      <c r="P99" s="22" t="n"/>
      <c r="Q99" s="22" t="n"/>
      <c r="R99" s="22" t="n"/>
      <c r="S99" s="105" t="n"/>
      <c r="T99" s="105" t="n"/>
      <c r="U99" s="105">
        <f>+S99*21%</f>
        <v/>
      </c>
      <c r="V99" s="105">
        <f>+S99*3%</f>
        <v/>
      </c>
      <c r="W99" s="105">
        <f>+S99*2.5%</f>
        <v/>
      </c>
      <c r="X99" s="105">
        <f>IF(A99="00-175",S99*0.06,0)</f>
        <v/>
      </c>
      <c r="Y99" s="105" t="n"/>
      <c r="Z99" s="105" t="n"/>
      <c r="AA99" s="105">
        <f>+S99+T99+U99+W99+X99+V99+Y99</f>
        <v/>
      </c>
      <c r="AB99" s="22" t="n"/>
      <c r="AC99" s="105" t="n"/>
      <c r="AD99" s="22" t="n"/>
      <c r="AE99" s="105" t="n"/>
      <c r="AF99" s="22" t="n"/>
      <c r="AG99" s="105" t="n"/>
      <c r="AH99" s="105" t="n"/>
      <c r="AI99" s="105">
        <f>+AC99+AE99+AG99+AH99</f>
        <v/>
      </c>
      <c r="AJ99" s="105">
        <f>+AA99-AI99</f>
        <v/>
      </c>
      <c r="AK99" s="21">
        <f>IF(Q99="ANULADA","N/A",IF(ABS(AJ99)&gt;10,"Pendiente",IF(MAX(AB99,AD99,AF99)=0,"Pendiente",MAX(0,MAX(AB99,AD99,AF99)-O99))))</f>
        <v/>
      </c>
    </row>
    <row r="100" hidden="1" ht="15" customHeight="1">
      <c r="A100" s="12" t="inlineStr">
        <is>
          <t>00-177</t>
        </is>
      </c>
      <c r="B100" s="12" t="inlineStr">
        <is>
          <t>EDIFICIOS PUERTO NIZUC FIDEICOMISO</t>
        </is>
      </c>
      <c r="C100" s="22" t="inlineStr">
        <is>
          <t>Edificios 7 y 8 - Puerto Nizuc</t>
        </is>
      </c>
      <c r="D100" s="13" t="inlineStr">
        <is>
          <t>Edificios 7 a 8</t>
        </is>
      </c>
      <c r="E100" s="13" t="n">
        <v>6</v>
      </c>
      <c r="F100" s="13" t="inlineStr">
        <is>
          <t>Redet Nº 5 Mayo'26</t>
        </is>
      </c>
      <c r="G100" s="13" t="inlineStr">
        <is>
          <t>Redet.</t>
        </is>
      </c>
      <c r="H100" s="23" t="n">
        <v>46143</v>
      </c>
      <c r="I100" s="104" t="n"/>
      <c r="J100" s="105" t="n">
        <v>49731814.1</v>
      </c>
      <c r="K100" s="105">
        <f>+J100</f>
        <v/>
      </c>
      <c r="L100" s="13" t="inlineStr">
        <is>
          <t>En Espera</t>
        </is>
      </c>
      <c r="M100" s="12" t="n"/>
      <c r="N100" s="38" t="n"/>
      <c r="O100" s="106" t="n"/>
      <c r="P100" s="22" t="n"/>
      <c r="Q100" s="22" t="n"/>
      <c r="R100" s="22" t="n"/>
      <c r="S100" s="105" t="n"/>
      <c r="T100" s="105" t="n"/>
      <c r="U100" s="105">
        <f>+S100*21%</f>
        <v/>
      </c>
      <c r="V100" s="105">
        <f>+S100*3%</f>
        <v/>
      </c>
      <c r="W100" s="105">
        <f>+S100*2.5%</f>
        <v/>
      </c>
      <c r="X100" s="105">
        <f>IF(A100="00-175",S100*0.06,0)</f>
        <v/>
      </c>
      <c r="Y100" s="105" t="n"/>
      <c r="Z100" s="105" t="n"/>
      <c r="AA100" s="105">
        <f>+S100+T100+U100+W100+X100+V100+Y100</f>
        <v/>
      </c>
      <c r="AB100" s="22" t="n"/>
      <c r="AC100" s="105" t="n"/>
      <c r="AD100" s="22" t="n"/>
      <c r="AE100" s="105" t="n"/>
      <c r="AF100" s="22" t="n"/>
      <c r="AG100" s="105" t="n"/>
      <c r="AH100" s="105" t="n"/>
      <c r="AI100" s="105">
        <f>+AC100+AE100+AG100+AH100</f>
        <v/>
      </c>
      <c r="AJ100" s="105">
        <f>+AA100-AI100</f>
        <v/>
      </c>
      <c r="AK100" s="21">
        <f>IF(Q100="ANULADA","N/A",IF(ABS(AJ100)&gt;10,"Pendiente",IF(MAX(AB100,AD100,AF100)=0,"Pendiente",MAX(0,MAX(AB100,AD100,AF100)-O100))))</f>
        <v/>
      </c>
    </row>
    <row r="101" hidden="1" ht="15" customHeight="1">
      <c r="A101" s="25" t="inlineStr">
        <is>
          <t>00-178</t>
        </is>
      </c>
      <c r="B101" s="25" t="inlineStr">
        <is>
          <t>EDIFICIOS PUERTO NIZUC FIDEICOMISO</t>
        </is>
      </c>
      <c r="C101" s="22" t="inlineStr">
        <is>
          <t>Edificio Oficinas - Puerto Nizuc</t>
        </is>
      </c>
      <c r="D101" s="13" t="inlineStr">
        <is>
          <t>Anticipo</t>
        </is>
      </c>
      <c r="E101" s="13" t="n"/>
      <c r="F101" s="13" t="inlineStr">
        <is>
          <t>Anticipo</t>
        </is>
      </c>
      <c r="G101" s="13" t="inlineStr">
        <is>
          <t>Anticipo</t>
        </is>
      </c>
      <c r="H101" s="13" t="inlineStr">
        <is>
          <t>Anticipo</t>
        </is>
      </c>
      <c r="I101" s="104" t="n"/>
      <c r="J101" s="105" t="n"/>
      <c r="K101" s="105" t="n">
        <v>3390677291.57</v>
      </c>
      <c r="L101" s="13" t="inlineStr">
        <is>
          <t>Validado</t>
        </is>
      </c>
      <c r="M101" s="25" t="inlineStr">
        <is>
          <t>FC A</t>
        </is>
      </c>
      <c r="N101" s="27" t="n">
        <v>2555</v>
      </c>
      <c r="O101" s="106" t="n">
        <v>46022</v>
      </c>
      <c r="P101" s="25" t="inlineStr">
        <is>
          <t>Anticipo de Obra - Oficinas y 6 - Puerto Nizuc (00178)</t>
        </is>
      </c>
      <c r="Q101" s="25" t="inlineStr">
        <is>
          <t>NO</t>
        </is>
      </c>
      <c r="R101" s="25" t="inlineStr">
        <is>
          <t>N/A</t>
        </is>
      </c>
      <c r="S101" s="105">
        <f>+K101</f>
        <v/>
      </c>
      <c r="T101" s="108">
        <f>+S101*10.5%</f>
        <v/>
      </c>
      <c r="U101" s="108" t="n"/>
      <c r="V101" s="108" t="n"/>
      <c r="W101" s="108">
        <f>+S101*3.5%</f>
        <v/>
      </c>
      <c r="X101" s="108">
        <f>IF(A101="00-175",S101*0.06,0)</f>
        <v/>
      </c>
      <c r="Y101" s="108" t="n"/>
      <c r="Z101" s="108" t="n"/>
      <c r="AA101" s="108">
        <f>+S101+T101+U101+W101+X101+V101+Y101</f>
        <v/>
      </c>
      <c r="AB101" s="109" t="n">
        <v>46022</v>
      </c>
      <c r="AC101" s="108" t="n">
        <v>3865372112.38</v>
      </c>
      <c r="AD101" s="22" t="n"/>
      <c r="AE101" s="105" t="n"/>
      <c r="AF101" s="22" t="n"/>
      <c r="AG101" s="105" t="n"/>
      <c r="AH101" s="105" t="n"/>
      <c r="AI101" s="105">
        <f>+AC101+AE101+AG101+AH101</f>
        <v/>
      </c>
      <c r="AJ101" s="105">
        <f>+AA101-AI101</f>
        <v/>
      </c>
      <c r="AK101" s="21">
        <f>IF(Q101="ANULADA","N/A",IF(ABS(AJ101)&gt;10,"Pendiente",IF(MAX(AB101,AD101,AF101)=0,"Pendiente",MAX(0,MAX(AB101,AD101,AF101)-O101))))</f>
        <v/>
      </c>
    </row>
    <row r="102" hidden="1" ht="15" customHeight="1">
      <c r="A102" s="22" t="inlineStr">
        <is>
          <t>00-178</t>
        </is>
      </c>
      <c r="B102" s="25" t="inlineStr">
        <is>
          <t>EDIFICIOS PUERTO NIZUC FIDEICOMISO</t>
        </is>
      </c>
      <c r="C102" s="22" t="inlineStr">
        <is>
          <t>Edificio Oficinas - Puerto Nizuc</t>
        </is>
      </c>
      <c r="D102" s="13" t="inlineStr">
        <is>
          <t>Anticipo</t>
        </is>
      </c>
      <c r="E102" s="13" t="n"/>
      <c r="F102" s="13" t="inlineStr">
        <is>
          <t>Anticipo</t>
        </is>
      </c>
      <c r="G102" s="13" t="inlineStr">
        <is>
          <t>Anticipo</t>
        </is>
      </c>
      <c r="H102" s="13" t="inlineStr">
        <is>
          <t>Anticipo</t>
        </is>
      </c>
      <c r="I102" s="104" t="n"/>
      <c r="J102" s="105" t="n">
        <v>3390677291.57</v>
      </c>
      <c r="K102" s="105" t="n">
        <v>3390677291.57</v>
      </c>
      <c r="L102" s="13" t="inlineStr">
        <is>
          <t>Validado</t>
        </is>
      </c>
      <c r="M102" s="22" t="inlineStr">
        <is>
          <t>FC A</t>
        </is>
      </c>
      <c r="N102" s="24" t="n">
        <v>2580</v>
      </c>
      <c r="O102" s="106" t="n">
        <v>46053</v>
      </c>
      <c r="P102" s="22" t="inlineStr">
        <is>
          <t>Anticipo Financiero. - Edificio Oficinas - Puerto Nizuc (00178)</t>
        </is>
      </c>
      <c r="Q102" s="25" t="inlineStr">
        <is>
          <t>NO</t>
        </is>
      </c>
      <c r="R102" s="25" t="inlineStr">
        <is>
          <t>N/A</t>
        </is>
      </c>
      <c r="S102" s="105">
        <f>+J102</f>
        <v/>
      </c>
      <c r="T102" s="105" t="n"/>
      <c r="U102" s="105">
        <f>+S102*21%</f>
        <v/>
      </c>
      <c r="V102" s="105" t="n">
        <v>0</v>
      </c>
      <c r="W102" s="105" t="n">
        <v>0</v>
      </c>
      <c r="X102" s="105">
        <f>+S102*3.5%</f>
        <v/>
      </c>
      <c r="Y102" s="105" t="n"/>
      <c r="Z102" s="105" t="n"/>
      <c r="AA102" s="105">
        <f>+S102+T102+U102+W102+X102+V102+Y102</f>
        <v/>
      </c>
      <c r="AB102" s="22" t="n"/>
      <c r="AC102" s="105" t="n"/>
      <c r="AD102" s="22" t="n"/>
      <c r="AE102" s="105" t="n"/>
      <c r="AF102" s="22" t="n"/>
      <c r="AG102" s="105" t="n"/>
      <c r="AH102" s="105" t="n"/>
      <c r="AI102" s="105">
        <f>+AC102+AE102+AG102+AH102</f>
        <v/>
      </c>
      <c r="AJ102" s="105">
        <f>+AA102-AI102</f>
        <v/>
      </c>
      <c r="AK102" s="21">
        <f>IF(Q102="ANULADA","N/A",IF(ABS(AJ102)&gt;10,"Pendiente",IF(MAX(AB102,AD102,AF102)=0,"Pendiente",MAX(0,MAX(AB102,AD102,AF102)-O102))))</f>
        <v/>
      </c>
    </row>
    <row r="103" hidden="1" ht="15" customHeight="1">
      <c r="A103" s="22" t="inlineStr">
        <is>
          <t>00-178</t>
        </is>
      </c>
      <c r="B103" s="25" t="inlineStr">
        <is>
          <t>EDIFICIOS PUERTO NIZUC FIDEICOMISO</t>
        </is>
      </c>
      <c r="C103" s="22" t="inlineStr">
        <is>
          <t>Edificio Oficinas - Puerto Nizuc</t>
        </is>
      </c>
      <c r="D103" s="13" t="inlineStr">
        <is>
          <t>6 y oficinas</t>
        </is>
      </c>
      <c r="E103" s="13" t="n">
        <v>1</v>
      </c>
      <c r="F103" s="13" t="inlineStr">
        <is>
          <t>Básico Nº 1 Oct-nov-dic</t>
        </is>
      </c>
      <c r="G103" s="13" t="inlineStr">
        <is>
          <t>Básico</t>
        </is>
      </c>
      <c r="H103" s="23" t="n">
        <v>45992</v>
      </c>
      <c r="I103" s="104">
        <f>+J103</f>
        <v/>
      </c>
      <c r="J103" s="115" t="n">
        <v>729734465.17</v>
      </c>
      <c r="K103" s="115" t="n">
        <v>0</v>
      </c>
      <c r="L103" s="13" t="inlineStr">
        <is>
          <t>Validado</t>
        </is>
      </c>
      <c r="M103" s="22" t="n"/>
      <c r="N103" s="38" t="n"/>
      <c r="O103" s="106" t="n"/>
      <c r="P103" s="22" t="n"/>
      <c r="Q103" s="22" t="n"/>
      <c r="R103" s="22" t="n"/>
      <c r="S103" s="105" t="n"/>
      <c r="T103" s="105" t="n"/>
      <c r="U103" s="105">
        <f>+S103*21%</f>
        <v/>
      </c>
      <c r="V103" s="105">
        <f>+S103*3%</f>
        <v/>
      </c>
      <c r="W103" s="105">
        <f>+S103*2.5%</f>
        <v/>
      </c>
      <c r="X103" s="105">
        <f>IF(A103="00-175",S103*0.06,0)</f>
        <v/>
      </c>
      <c r="Y103" s="105" t="n"/>
      <c r="Z103" s="105" t="n"/>
      <c r="AA103" s="105">
        <f>+S103+T103+U103+W103+X103+V103+Y103</f>
        <v/>
      </c>
      <c r="AB103" s="22" t="n"/>
      <c r="AC103" s="105" t="n"/>
      <c r="AD103" s="22" t="n"/>
      <c r="AE103" s="105" t="n"/>
      <c r="AF103" s="22" t="n"/>
      <c r="AG103" s="105" t="n"/>
      <c r="AH103" s="105" t="n"/>
      <c r="AI103" s="105">
        <f>+AC103+AE103+AG103+AH103</f>
        <v/>
      </c>
      <c r="AJ103" s="105">
        <f>+AA103-AI103</f>
        <v/>
      </c>
      <c r="AK103" s="21" t="inlineStr">
        <is>
          <t>N/A</t>
        </is>
      </c>
    </row>
    <row r="104" hidden="1" ht="15" customHeight="1">
      <c r="A104" s="22" t="inlineStr">
        <is>
          <t>00-178</t>
        </is>
      </c>
      <c r="B104" s="25" t="inlineStr">
        <is>
          <t>EDIFICIOS PUERTO NIZUC FIDEICOMISO</t>
        </is>
      </c>
      <c r="C104" s="22" t="inlineStr">
        <is>
          <t>Edificio Oficinas - Puerto Nizuc</t>
        </is>
      </c>
      <c r="D104" s="13" t="inlineStr">
        <is>
          <t>6 y oficinas</t>
        </is>
      </c>
      <c r="E104" s="13" t="n">
        <v>1</v>
      </c>
      <c r="F104" s="13" t="inlineStr">
        <is>
          <t>Redet Nº 1 Oct-nov-dic</t>
        </is>
      </c>
      <c r="G104" s="13" t="inlineStr">
        <is>
          <t>Redet.</t>
        </is>
      </c>
      <c r="H104" s="23" t="n">
        <v>45992</v>
      </c>
      <c r="I104" s="104">
        <f>+J104</f>
        <v/>
      </c>
      <c r="J104" s="115" t="n">
        <v>31374002.73</v>
      </c>
      <c r="K104" s="115" t="n">
        <v>0</v>
      </c>
      <c r="L104" s="13" t="inlineStr">
        <is>
          <t>Validado</t>
        </is>
      </c>
      <c r="M104" s="22" t="n"/>
      <c r="N104" s="38" t="n"/>
      <c r="O104" s="106" t="n"/>
      <c r="P104" s="22" t="n"/>
      <c r="Q104" s="22" t="n"/>
      <c r="R104" s="22" t="n"/>
      <c r="S104" s="105" t="n"/>
      <c r="T104" s="105" t="n"/>
      <c r="U104" s="105">
        <f>+S104*21%</f>
        <v/>
      </c>
      <c r="V104" s="105">
        <f>+S104*3%</f>
        <v/>
      </c>
      <c r="W104" s="105">
        <f>+S104*2.5%</f>
        <v/>
      </c>
      <c r="X104" s="105">
        <f>IF(A104="00-175",S104*0.06,0)</f>
        <v/>
      </c>
      <c r="Y104" s="105" t="n"/>
      <c r="Z104" s="105" t="n"/>
      <c r="AA104" s="105">
        <f>+S104+T104+U104+W104+X104+V104+Y104</f>
        <v/>
      </c>
      <c r="AB104" s="22" t="n"/>
      <c r="AC104" s="105" t="n"/>
      <c r="AD104" s="22" t="n"/>
      <c r="AE104" s="105" t="n"/>
      <c r="AF104" s="22" t="n"/>
      <c r="AG104" s="105" t="n"/>
      <c r="AH104" s="105" t="n"/>
      <c r="AI104" s="105">
        <f>+AC104+AE104+AG104+AH104</f>
        <v/>
      </c>
      <c r="AJ104" s="105">
        <f>+AA104-AI104</f>
        <v/>
      </c>
      <c r="AK104" s="21" t="inlineStr">
        <is>
          <t>N/A</t>
        </is>
      </c>
    </row>
    <row r="105" hidden="1" ht="15" customHeight="1">
      <c r="A105" s="22" t="inlineStr">
        <is>
          <t>00-178</t>
        </is>
      </c>
      <c r="B105" s="25" t="inlineStr">
        <is>
          <t>EDIFICIOS PUERTO NIZUC FIDEICOMISO</t>
        </is>
      </c>
      <c r="C105" s="22" t="inlineStr">
        <is>
          <t>Edificio Oficinas - Puerto Nizuc</t>
        </is>
      </c>
      <c r="D105" s="13" t="inlineStr">
        <is>
          <t>6 y oficinas</t>
        </is>
      </c>
      <c r="E105" s="13" t="n">
        <v>2</v>
      </c>
      <c r="F105" s="13" t="inlineStr">
        <is>
          <t>Básico Nº 2 Enero 2026</t>
        </is>
      </c>
      <c r="G105" s="13" t="inlineStr">
        <is>
          <t>Básico</t>
        </is>
      </c>
      <c r="H105" s="23" t="n">
        <v>46023</v>
      </c>
      <c r="I105" s="104">
        <f>+J105</f>
        <v/>
      </c>
      <c r="J105" s="115" t="n">
        <v>557690725.71</v>
      </c>
      <c r="K105" s="115" t="n">
        <v>0</v>
      </c>
      <c r="L105" s="13" t="inlineStr">
        <is>
          <t>Validado</t>
        </is>
      </c>
      <c r="M105" s="22" t="n"/>
      <c r="N105" s="38" t="n"/>
      <c r="O105" s="106" t="n"/>
      <c r="P105" s="22" t="n"/>
      <c r="Q105" s="22" t="n"/>
      <c r="R105" s="22" t="n"/>
      <c r="S105" s="105" t="n"/>
      <c r="T105" s="105" t="n"/>
      <c r="U105" s="105">
        <f>+S105*21%</f>
        <v/>
      </c>
      <c r="V105" s="105">
        <f>+S105*3%</f>
        <v/>
      </c>
      <c r="W105" s="105">
        <f>+S105*2.5%</f>
        <v/>
      </c>
      <c r="X105" s="105">
        <f>IF(A105="00-175",S105*0.06,0)</f>
        <v/>
      </c>
      <c r="Y105" s="105" t="n"/>
      <c r="Z105" s="105" t="n"/>
      <c r="AA105" s="105">
        <f>+S105+T105+U105+W105+X105+V105+Y105</f>
        <v/>
      </c>
      <c r="AB105" s="22" t="n"/>
      <c r="AC105" s="105" t="n"/>
      <c r="AD105" s="22" t="n"/>
      <c r="AE105" s="105" t="n"/>
      <c r="AF105" s="22" t="n"/>
      <c r="AG105" s="105" t="n"/>
      <c r="AH105" s="105" t="n"/>
      <c r="AI105" s="105">
        <f>+AC105+AE105+AG105+AH105</f>
        <v/>
      </c>
      <c r="AJ105" s="105">
        <f>+AA105-AI105</f>
        <v/>
      </c>
      <c r="AK105" s="21" t="inlineStr">
        <is>
          <t>N/A</t>
        </is>
      </c>
    </row>
    <row r="106" hidden="1" ht="15" customHeight="1">
      <c r="A106" s="22" t="inlineStr">
        <is>
          <t>00-178</t>
        </is>
      </c>
      <c r="B106" s="25" t="inlineStr">
        <is>
          <t>EDIFICIOS PUERTO NIZUC FIDEICOMISO</t>
        </is>
      </c>
      <c r="C106" s="22" t="inlineStr">
        <is>
          <t>Edificio Oficinas - Puerto Nizuc</t>
        </is>
      </c>
      <c r="D106" s="13" t="inlineStr">
        <is>
          <t>6 y oficinas</t>
        </is>
      </c>
      <c r="E106" s="13" t="n">
        <v>2</v>
      </c>
      <c r="F106" s="13" t="inlineStr">
        <is>
          <t>Redet Nº 2 Enero 2026</t>
        </is>
      </c>
      <c r="G106" s="13" t="inlineStr">
        <is>
          <t>Redet.</t>
        </is>
      </c>
      <c r="H106" s="23" t="n">
        <v>46023</v>
      </c>
      <c r="I106" s="104">
        <f>+J106</f>
        <v/>
      </c>
      <c r="J106" s="115" t="n">
        <v>23659033.46</v>
      </c>
      <c r="K106" s="115" t="n">
        <v>0</v>
      </c>
      <c r="L106" s="13" t="inlineStr">
        <is>
          <t>Validado</t>
        </is>
      </c>
      <c r="M106" s="22" t="n"/>
      <c r="N106" s="38" t="n"/>
      <c r="O106" s="106" t="n"/>
      <c r="P106" s="22" t="n"/>
      <c r="Q106" s="22" t="n"/>
      <c r="R106" s="22" t="n"/>
      <c r="S106" s="105" t="n"/>
      <c r="T106" s="105" t="n"/>
      <c r="U106" s="105">
        <f>+S106*21%</f>
        <v/>
      </c>
      <c r="V106" s="105">
        <f>+S106*3%</f>
        <v/>
      </c>
      <c r="W106" s="105">
        <f>+S106*2.5%</f>
        <v/>
      </c>
      <c r="X106" s="105">
        <f>IF(A106="00-175",S106*0.06,0)</f>
        <v/>
      </c>
      <c r="Y106" s="105" t="n"/>
      <c r="Z106" s="105" t="n"/>
      <c r="AA106" s="105">
        <f>+S106+T106+U106+W106+X106+V106+Y106</f>
        <v/>
      </c>
      <c r="AB106" s="22" t="n"/>
      <c r="AC106" s="105" t="n"/>
      <c r="AD106" s="22" t="n"/>
      <c r="AE106" s="105" t="n"/>
      <c r="AF106" s="22" t="n"/>
      <c r="AG106" s="105" t="n"/>
      <c r="AH106" s="105" t="n"/>
      <c r="AI106" s="105">
        <f>+AC106+AE106+AG106+AH106</f>
        <v/>
      </c>
      <c r="AJ106" s="105">
        <f>+AA106-AI106</f>
        <v/>
      </c>
      <c r="AK106" s="21" t="inlineStr">
        <is>
          <t>N/A</t>
        </is>
      </c>
    </row>
    <row r="107" hidden="1" ht="15" customHeight="1">
      <c r="A107" s="22" t="inlineStr">
        <is>
          <t>00-178</t>
        </is>
      </c>
      <c r="B107" s="25" t="inlineStr">
        <is>
          <t>EDIFICIOS PUERTO NIZUC FIDEICOMISO</t>
        </is>
      </c>
      <c r="C107" s="22" t="inlineStr">
        <is>
          <t>Edificio Oficinas - Puerto Nizuc</t>
        </is>
      </c>
      <c r="D107" s="13" t="inlineStr">
        <is>
          <t>6 y oficinas</t>
        </is>
      </c>
      <c r="E107" s="13" t="n">
        <v>3</v>
      </c>
      <c r="F107" s="13" t="inlineStr">
        <is>
          <t>Básico Nº 3 Febrero 2026</t>
        </is>
      </c>
      <c r="G107" s="13" t="inlineStr">
        <is>
          <t>Básico</t>
        </is>
      </c>
      <c r="H107" s="23" t="n">
        <v>46054</v>
      </c>
      <c r="I107" s="104" t="n">
        <v>984953210.48</v>
      </c>
      <c r="J107" s="104" t="n">
        <v>984953210.48</v>
      </c>
      <c r="K107" s="104" t="n">
        <v>0</v>
      </c>
      <c r="L107" s="13" t="inlineStr">
        <is>
          <t>Validado</t>
        </is>
      </c>
      <c r="M107" s="22" t="n"/>
      <c r="N107" s="38" t="n"/>
      <c r="O107" s="106" t="n"/>
      <c r="P107" s="22" t="n"/>
      <c r="Q107" s="22" t="n"/>
      <c r="R107" s="22" t="n"/>
      <c r="S107" s="105" t="n"/>
      <c r="T107" s="105" t="n"/>
      <c r="U107" s="105">
        <f>+S107*21%</f>
        <v/>
      </c>
      <c r="V107" s="105">
        <f>+S107*3%</f>
        <v/>
      </c>
      <c r="W107" s="105">
        <f>+S107*2.5%</f>
        <v/>
      </c>
      <c r="X107" s="105">
        <f>IF(A107="00-175",S107*0.06,0)</f>
        <v/>
      </c>
      <c r="Y107" s="105" t="n"/>
      <c r="Z107" s="105" t="n"/>
      <c r="AA107" s="105">
        <f>+S107+T107+U107+W107+X107+V107+Y107</f>
        <v/>
      </c>
      <c r="AB107" s="22" t="n"/>
      <c r="AC107" s="105" t="n"/>
      <c r="AD107" s="22" t="n"/>
      <c r="AE107" s="105" t="n"/>
      <c r="AF107" s="22" t="n"/>
      <c r="AG107" s="105" t="n"/>
      <c r="AH107" s="105" t="n"/>
      <c r="AI107" s="105">
        <f>+AC107+AE107+AG107+AH107</f>
        <v/>
      </c>
      <c r="AJ107" s="105">
        <f>+AA107-AI107</f>
        <v/>
      </c>
      <c r="AK107" s="21" t="inlineStr">
        <is>
          <t>N/A</t>
        </is>
      </c>
    </row>
    <row r="108" hidden="1" ht="15" customHeight="1">
      <c r="A108" s="22" t="inlineStr">
        <is>
          <t>00-178</t>
        </is>
      </c>
      <c r="B108" s="25" t="inlineStr">
        <is>
          <t>EDIFICIOS PUERTO NIZUC FIDEICOMISO</t>
        </is>
      </c>
      <c r="C108" s="22" t="inlineStr">
        <is>
          <t>Edificio Oficinas - Puerto Nizuc</t>
        </is>
      </c>
      <c r="D108" s="13" t="inlineStr">
        <is>
          <t>6 y oficinas</t>
        </is>
      </c>
      <c r="E108" s="13" t="n">
        <v>3</v>
      </c>
      <c r="F108" s="13" t="inlineStr">
        <is>
          <t>Redet Nº 3 Febrero 2026</t>
        </is>
      </c>
      <c r="G108" s="13" t="inlineStr">
        <is>
          <t>Redet.</t>
        </is>
      </c>
      <c r="H108" s="23" t="n">
        <v>46054</v>
      </c>
      <c r="I108" s="104" t="n">
        <v>53400729.17</v>
      </c>
      <c r="J108" s="104" t="n">
        <v>53400729.17</v>
      </c>
      <c r="K108" s="104" t="n">
        <v>0</v>
      </c>
      <c r="L108" s="13" t="inlineStr">
        <is>
          <t>Validado</t>
        </is>
      </c>
      <c r="M108" s="22" t="n"/>
      <c r="N108" s="38" t="n"/>
      <c r="O108" s="106" t="n"/>
      <c r="P108" s="22" t="n"/>
      <c r="Q108" s="22" t="n"/>
      <c r="R108" s="22" t="n"/>
      <c r="S108" s="105" t="n"/>
      <c r="T108" s="105" t="n"/>
      <c r="U108" s="105">
        <f>+S108*21%</f>
        <v/>
      </c>
      <c r="V108" s="105">
        <f>+S108*3%</f>
        <v/>
      </c>
      <c r="W108" s="105">
        <f>+S108*2.5%</f>
        <v/>
      </c>
      <c r="X108" s="105">
        <f>IF(A108="00-175",S108*0.06,0)</f>
        <v/>
      </c>
      <c r="Y108" s="105" t="n"/>
      <c r="Z108" s="105" t="n"/>
      <c r="AA108" s="105">
        <f>+S108+T108+U108+W108+X108+V108+Y108</f>
        <v/>
      </c>
      <c r="AB108" s="22" t="n"/>
      <c r="AC108" s="105" t="n"/>
      <c r="AD108" s="22" t="n"/>
      <c r="AE108" s="105" t="n"/>
      <c r="AF108" s="22" t="n"/>
      <c r="AG108" s="105" t="n"/>
      <c r="AH108" s="105" t="n"/>
      <c r="AI108" s="105">
        <f>+AC108+AE108+AG108+AH108</f>
        <v/>
      </c>
      <c r="AJ108" s="105">
        <f>+AA108-AI108</f>
        <v/>
      </c>
      <c r="AK108" s="21" t="inlineStr">
        <is>
          <t>N/A</t>
        </is>
      </c>
    </row>
    <row r="109" hidden="1" ht="15" customHeight="1">
      <c r="A109" s="22" t="inlineStr">
        <is>
          <t>00-178</t>
        </is>
      </c>
      <c r="B109" s="25" t="inlineStr">
        <is>
          <t>EDIFICIOS PUERTO NIZUC FIDEICOMISO</t>
        </is>
      </c>
      <c r="C109" s="22" t="inlineStr">
        <is>
          <t>Edificio Oficinas - Puerto Nizuc</t>
        </is>
      </c>
      <c r="D109" s="13" t="inlineStr">
        <is>
          <t>6 y oficinas</t>
        </is>
      </c>
      <c r="E109" s="13" t="n">
        <v>4</v>
      </c>
      <c r="F109" s="13" t="inlineStr">
        <is>
          <t>Básico Nº 4 Marzo 2026</t>
        </is>
      </c>
      <c r="G109" s="13" t="inlineStr">
        <is>
          <t>Básico</t>
        </is>
      </c>
      <c r="H109" s="23" t="n">
        <v>46082</v>
      </c>
      <c r="I109" s="104">
        <f>+J109-K109</f>
        <v/>
      </c>
      <c r="J109" s="115" t="n">
        <v>639402139.5599999</v>
      </c>
      <c r="K109" s="115" t="n">
        <v>0</v>
      </c>
      <c r="L109" s="13" t="inlineStr">
        <is>
          <t>Validado</t>
        </is>
      </c>
      <c r="M109" s="22" t="n"/>
      <c r="N109" s="38" t="n"/>
      <c r="O109" s="106" t="n"/>
      <c r="P109" s="22" t="n"/>
      <c r="Q109" s="22" t="n"/>
      <c r="R109" s="22" t="n"/>
      <c r="S109" s="105" t="n"/>
      <c r="T109" s="105" t="n"/>
      <c r="U109" s="105">
        <f>+S109*21%</f>
        <v/>
      </c>
      <c r="V109" s="105">
        <f>+S109*3%</f>
        <v/>
      </c>
      <c r="W109" s="105">
        <f>+S109*2.5%</f>
        <v/>
      </c>
      <c r="X109" s="105">
        <f>IF(A109="00-175",S109*0.06,0)</f>
        <v/>
      </c>
      <c r="Y109" s="105" t="n"/>
      <c r="Z109" s="105" t="n"/>
      <c r="AA109" s="105">
        <f>+S109+T109+U109+W109+X109+V109+Y109</f>
        <v/>
      </c>
      <c r="AB109" s="22" t="n"/>
      <c r="AC109" s="105" t="n"/>
      <c r="AD109" s="22" t="n"/>
      <c r="AE109" s="105" t="n"/>
      <c r="AF109" s="22" t="n"/>
      <c r="AG109" s="105" t="n"/>
      <c r="AH109" s="105" t="n"/>
      <c r="AI109" s="105">
        <f>+AC109+AE109+AG109+AH109</f>
        <v/>
      </c>
      <c r="AJ109" s="105">
        <f>+AA109-AI109</f>
        <v/>
      </c>
      <c r="AK109" s="21" t="inlineStr">
        <is>
          <t>N/A</t>
        </is>
      </c>
    </row>
    <row r="110" hidden="1" ht="15" customHeight="1">
      <c r="A110" s="22" t="inlineStr">
        <is>
          <t>00-178</t>
        </is>
      </c>
      <c r="B110" s="25" t="inlineStr">
        <is>
          <t>EDIFICIOS PUERTO NIZUC FIDEICOMISO</t>
        </is>
      </c>
      <c r="C110" s="22" t="inlineStr">
        <is>
          <t>Edificio Oficinas - Puerto Nizuc</t>
        </is>
      </c>
      <c r="D110" s="13" t="inlineStr">
        <is>
          <t>6 y oficinas</t>
        </is>
      </c>
      <c r="E110" s="13" t="n">
        <v>4</v>
      </c>
      <c r="F110" s="13" t="inlineStr">
        <is>
          <t>Redet Nº 4 Marzo 2026</t>
        </is>
      </c>
      <c r="G110" s="13" t="inlineStr">
        <is>
          <t>Redet.</t>
        </is>
      </c>
      <c r="H110" s="23" t="n">
        <v>46082</v>
      </c>
      <c r="I110" s="104">
        <f>+J110</f>
        <v/>
      </c>
      <c r="J110" s="115" t="n">
        <v>40901771.39</v>
      </c>
      <c r="K110" s="115" t="n">
        <v>0</v>
      </c>
      <c r="L110" s="13" t="inlineStr">
        <is>
          <t>Validado</t>
        </is>
      </c>
      <c r="M110" s="22" t="n"/>
      <c r="N110" s="38" t="n"/>
      <c r="O110" s="106" t="n"/>
      <c r="P110" s="22" t="n"/>
      <c r="Q110" s="22" t="n"/>
      <c r="R110" s="22" t="n"/>
      <c r="S110" s="105" t="n"/>
      <c r="T110" s="105" t="n"/>
      <c r="U110" s="105">
        <f>+S110*21%</f>
        <v/>
      </c>
      <c r="V110" s="105">
        <f>+S110*3%</f>
        <v/>
      </c>
      <c r="W110" s="105">
        <f>+S110*2.5%</f>
        <v/>
      </c>
      <c r="X110" s="105">
        <f>IF(A110="00-175",S110*0.06,0)</f>
        <v/>
      </c>
      <c r="Y110" s="105" t="n"/>
      <c r="Z110" s="105" t="n"/>
      <c r="AA110" s="105">
        <f>+S110+T110+U110+W110+X110+V110+Y110</f>
        <v/>
      </c>
      <c r="AB110" s="22" t="n"/>
      <c r="AC110" s="105" t="n"/>
      <c r="AD110" s="22" t="n"/>
      <c r="AE110" s="105" t="n"/>
      <c r="AF110" s="22" t="n"/>
      <c r="AG110" s="105" t="n"/>
      <c r="AH110" s="105" t="n"/>
      <c r="AI110" s="105">
        <f>+AC110+AE110+AG110+AH110</f>
        <v/>
      </c>
      <c r="AJ110" s="105">
        <f>+AA110-AI110</f>
        <v/>
      </c>
      <c r="AK110" s="21" t="inlineStr">
        <is>
          <t>N/A</t>
        </is>
      </c>
    </row>
    <row r="111" hidden="1" ht="14.25" customHeight="1">
      <c r="A111" s="22" t="inlineStr">
        <is>
          <t>00-178</t>
        </is>
      </c>
      <c r="B111" s="25" t="inlineStr">
        <is>
          <t>EDIFICIOS PUERTO NIZUC FIDEICOMISO</t>
        </is>
      </c>
      <c r="C111" s="22" t="inlineStr">
        <is>
          <t>Edificio Oficinas - Puerto Nizuc</t>
        </is>
      </c>
      <c r="D111" s="13" t="inlineStr">
        <is>
          <t>6 y oficinas</t>
        </is>
      </c>
      <c r="E111" s="13" t="n">
        <v>5</v>
      </c>
      <c r="F111" s="13" t="inlineStr">
        <is>
          <t>Básico Nº 5 Abril 2026</t>
        </is>
      </c>
      <c r="G111" s="13" t="inlineStr">
        <is>
          <t>Básico</t>
        </is>
      </c>
      <c r="H111" s="23" t="n">
        <v>46113</v>
      </c>
      <c r="I111" s="104">
        <f>+J111-K111</f>
        <v/>
      </c>
      <c r="J111" s="115" t="n">
        <v>792977332.1</v>
      </c>
      <c r="K111" s="115" t="n">
        <v>368821229.63</v>
      </c>
      <c r="L111" s="13" t="inlineStr">
        <is>
          <t>En Espera</t>
        </is>
      </c>
      <c r="M111" s="22" t="n"/>
      <c r="N111" s="38" t="n"/>
      <c r="O111" s="106" t="n"/>
      <c r="P111" s="22" t="n"/>
      <c r="Q111" s="22" t="n"/>
      <c r="R111" s="22" t="n"/>
      <c r="S111" s="105" t="n"/>
      <c r="T111" s="105" t="n"/>
      <c r="U111" s="105">
        <f>+S111*21%</f>
        <v/>
      </c>
      <c r="V111" s="105">
        <f>+S111*3%</f>
        <v/>
      </c>
      <c r="W111" s="105">
        <f>+S111*2.5%</f>
        <v/>
      </c>
      <c r="X111" s="105">
        <f>IF(A111="00-175",S111*0.06,0)</f>
        <v/>
      </c>
      <c r="Y111" s="105" t="n"/>
      <c r="Z111" s="105" t="n"/>
      <c r="AA111" s="105">
        <f>+S111+T111+U111+W111+X111+V111+Y111</f>
        <v/>
      </c>
      <c r="AB111" s="22" t="n"/>
      <c r="AC111" s="105" t="n"/>
      <c r="AD111" s="22" t="n"/>
      <c r="AE111" s="105" t="n"/>
      <c r="AF111" s="22" t="n"/>
      <c r="AG111" s="105" t="n"/>
      <c r="AH111" s="105" t="n"/>
      <c r="AI111" s="105">
        <f>+AC111+AE111+AG111+AH111</f>
        <v/>
      </c>
      <c r="AJ111" s="105">
        <f>+AA111-AI111</f>
        <v/>
      </c>
      <c r="AK111" s="21">
        <f>IF(Q111="ANULADA","N/A",IF(ABS(AJ111)&gt;10,"Pendiente",IF(MAX(AB111,AD111,AF111)=0,"Pendiente",MAX(0,MAX(AB111,AD111,AF111)-O111))))</f>
        <v/>
      </c>
    </row>
    <row r="112" hidden="1" ht="14.25" customHeight="1">
      <c r="A112" s="22" t="inlineStr">
        <is>
          <t>00-178</t>
        </is>
      </c>
      <c r="B112" s="25" t="inlineStr">
        <is>
          <t>EDIFICIOS PUERTO NIZUC FIDEICOMISO</t>
        </is>
      </c>
      <c r="C112" s="22" t="inlineStr">
        <is>
          <t>Edificio Oficinas - Puerto Nizuc</t>
        </is>
      </c>
      <c r="D112" s="13" t="inlineStr">
        <is>
          <t>6 y oficinas</t>
        </is>
      </c>
      <c r="E112" s="13" t="n">
        <v>5</v>
      </c>
      <c r="F112" s="13" t="inlineStr">
        <is>
          <t>Redet Nº 5 Abril 2026</t>
        </is>
      </c>
      <c r="G112" s="13" t="inlineStr">
        <is>
          <t>Redet.</t>
        </is>
      </c>
      <c r="H112" s="23" t="n">
        <v>46113</v>
      </c>
      <c r="I112" s="104">
        <f>+J112</f>
        <v/>
      </c>
      <c r="J112" s="115" t="n">
        <v>56045106.54</v>
      </c>
      <c r="K112" s="115" t="n">
        <v>0</v>
      </c>
      <c r="L112" s="13" t="inlineStr">
        <is>
          <t>En Espera</t>
        </is>
      </c>
      <c r="M112" s="22" t="n"/>
      <c r="N112" s="38" t="n"/>
      <c r="O112" s="106" t="n"/>
      <c r="P112" s="22" t="n"/>
      <c r="Q112" s="22" t="n"/>
      <c r="R112" s="22" t="n"/>
      <c r="S112" s="105" t="n"/>
      <c r="T112" s="105" t="n"/>
      <c r="U112" s="105">
        <f>+S112*21%</f>
        <v/>
      </c>
      <c r="V112" s="105">
        <f>+S112*3%</f>
        <v/>
      </c>
      <c r="W112" s="105">
        <f>+S112*2.5%</f>
        <v/>
      </c>
      <c r="X112" s="105">
        <f>IF(A112="00-175",S112*0.06,0)</f>
        <v/>
      </c>
      <c r="Y112" s="105" t="n"/>
      <c r="Z112" s="105" t="n"/>
      <c r="AA112" s="105">
        <f>+S112+T112+U112+W112+X112+V112+Y112</f>
        <v/>
      </c>
      <c r="AB112" s="22" t="n"/>
      <c r="AC112" s="105" t="n"/>
      <c r="AD112" s="22" t="n"/>
      <c r="AE112" s="105" t="n"/>
      <c r="AF112" s="22" t="n"/>
      <c r="AG112" s="105" t="n"/>
      <c r="AH112" s="105" t="n"/>
      <c r="AI112" s="105">
        <f>+AC112+AE112+AG112+AH112</f>
        <v/>
      </c>
      <c r="AJ112" s="105">
        <f>+AA112-AI112</f>
        <v/>
      </c>
      <c r="AK112" s="21">
        <f>IF(Q112="ANULADA","N/A",IF(ABS(AJ112)&gt;10,"Pendiente",IF(MAX(AB112,AD112,AF112)=0,"Pendiente",MAX(0,MAX(AB112,AD112,AF112)-O112))))</f>
        <v/>
      </c>
    </row>
    <row r="113" hidden="1" ht="15" customHeight="1">
      <c r="A113" s="22" t="inlineStr">
        <is>
          <t>00-178</t>
        </is>
      </c>
      <c r="B113" s="25" t="inlineStr">
        <is>
          <t>EDIFICIOS PUERTO NIZUC FIDEICOMISO</t>
        </is>
      </c>
      <c r="C113" s="22" t="inlineStr">
        <is>
          <t>Edificio Oficinas - Puerto Nizuc</t>
        </is>
      </c>
      <c r="D113" s="13" t="inlineStr">
        <is>
          <t>6 y oficinas</t>
        </is>
      </c>
      <c r="E113" s="13" t="n">
        <v>6</v>
      </c>
      <c r="F113" s="13" t="inlineStr">
        <is>
          <t>Básico Nº 6 Mayo 2026</t>
        </is>
      </c>
      <c r="G113" s="13" t="inlineStr">
        <is>
          <t>Básico</t>
        </is>
      </c>
      <c r="H113" s="23" t="n">
        <v>46143</v>
      </c>
      <c r="I113" s="104" t="n">
        <v>16869737.32</v>
      </c>
      <c r="J113" s="115" t="n">
        <v>834621043.25</v>
      </c>
      <c r="K113" s="115">
        <f>+J113-I113</f>
        <v/>
      </c>
      <c r="L113" s="13" t="inlineStr">
        <is>
          <t>En Espera</t>
        </is>
      </c>
      <c r="M113" s="22" t="n"/>
      <c r="N113" s="38" t="n"/>
      <c r="O113" s="106" t="n"/>
      <c r="P113" s="22" t="n"/>
      <c r="Q113" s="22" t="n"/>
      <c r="R113" s="22" t="n"/>
      <c r="S113" s="105" t="n"/>
      <c r="T113" s="105" t="n"/>
      <c r="U113" s="105">
        <f>+S113*21%</f>
        <v/>
      </c>
      <c r="V113" s="105">
        <f>+S113*3%</f>
        <v/>
      </c>
      <c r="W113" s="105">
        <f>+S113*2.5%</f>
        <v/>
      </c>
      <c r="X113" s="105">
        <f>IF(A113="00-175",S113*0.06,0)</f>
        <v/>
      </c>
      <c r="Y113" s="105" t="n"/>
      <c r="Z113" s="105" t="n"/>
      <c r="AA113" s="105">
        <f>+S113+T113+U113+W113+X113+V113+Y113</f>
        <v/>
      </c>
      <c r="AB113" s="22" t="n"/>
      <c r="AC113" s="105" t="n"/>
      <c r="AD113" s="22" t="n"/>
      <c r="AE113" s="105" t="n"/>
      <c r="AF113" s="22" t="n"/>
      <c r="AG113" s="105" t="n"/>
      <c r="AH113" s="105" t="n"/>
      <c r="AI113" s="105">
        <f>+AC113+AE113+AG113+AH113</f>
        <v/>
      </c>
      <c r="AJ113" s="105">
        <f>+AA113-AI113</f>
        <v/>
      </c>
      <c r="AK113" s="21">
        <f>IF(Q113="ANULADA","N/A",IF(ABS(AJ113)&gt;10,"Pendiente",IF(MAX(AB113,AD113,AF113)=0,"Pendiente",MAX(0,MAX(AB113,AD113,AF113)-O113))))</f>
        <v/>
      </c>
    </row>
    <row r="114" hidden="1" ht="15" customHeight="1">
      <c r="A114" s="22" t="inlineStr">
        <is>
          <t>00-178</t>
        </is>
      </c>
      <c r="B114" s="25" t="inlineStr">
        <is>
          <t>EDIFICIOS PUERTO NIZUC FIDEICOMISO</t>
        </is>
      </c>
      <c r="C114" s="22" t="inlineStr">
        <is>
          <t>Edificio Oficinas - Puerto Nizuc</t>
        </is>
      </c>
      <c r="D114" s="13" t="inlineStr">
        <is>
          <t>6 y oficinas</t>
        </is>
      </c>
      <c r="E114" s="13" t="n">
        <v>6</v>
      </c>
      <c r="F114" s="13" t="inlineStr">
        <is>
          <t>Redet Nº 6 Mayo 2026</t>
        </is>
      </c>
      <c r="G114" s="13" t="inlineStr">
        <is>
          <t>Redet.</t>
        </is>
      </c>
      <c r="H114" s="23" t="n">
        <v>46143</v>
      </c>
      <c r="I114" s="104" t="n"/>
      <c r="J114" s="115" t="n">
        <v>75771222.16</v>
      </c>
      <c r="K114" s="115">
        <f>+J114</f>
        <v/>
      </c>
      <c r="L114" s="13" t="inlineStr">
        <is>
          <t>En Espera</t>
        </is>
      </c>
      <c r="M114" s="22" t="n"/>
      <c r="N114" s="38" t="n"/>
      <c r="O114" s="106" t="n"/>
      <c r="P114" s="22" t="n"/>
      <c r="Q114" s="22" t="n"/>
      <c r="R114" s="22" t="n"/>
      <c r="S114" s="105" t="n"/>
      <c r="T114" s="105" t="n"/>
      <c r="U114" s="105">
        <f>+S114*21%</f>
        <v/>
      </c>
      <c r="V114" s="105">
        <f>+S114*3%</f>
        <v/>
      </c>
      <c r="W114" s="105">
        <f>+S114*2.5%</f>
        <v/>
      </c>
      <c r="X114" s="105">
        <f>IF(A114="00-175",S114*0.06,0)</f>
        <v/>
      </c>
      <c r="Y114" s="105" t="n"/>
      <c r="Z114" s="105" t="n"/>
      <c r="AA114" s="105">
        <f>+S114+T114+U114+W114+X114+V114+Y114</f>
        <v/>
      </c>
      <c r="AB114" s="22" t="n"/>
      <c r="AC114" s="105" t="n"/>
      <c r="AD114" s="22" t="n"/>
      <c r="AE114" s="105" t="n"/>
      <c r="AF114" s="22" t="n"/>
      <c r="AG114" s="105" t="n"/>
      <c r="AH114" s="105" t="n"/>
      <c r="AI114" s="105">
        <f>+AC114+AE114+AG114+AH114</f>
        <v/>
      </c>
      <c r="AJ114" s="105">
        <f>+AA114-AI114</f>
        <v/>
      </c>
      <c r="AK114" s="21">
        <f>IF(Q114="ANULADA","N/A",IF(ABS(AJ114)&gt;10,"Pendiente",IF(MAX(AB114,AD114,AF114)=0,"Pendiente",MAX(0,MAX(AB114,AD114,AF114)-O114))))</f>
        <v/>
      </c>
    </row>
    <row r="115" hidden="1" ht="15" customHeight="1">
      <c r="A115" s="25" t="inlineStr">
        <is>
          <t>00-181</t>
        </is>
      </c>
      <c r="B115" s="25" t="inlineStr">
        <is>
          <t>FIDEICOMISO MARINAS DEL PLATA</t>
        </is>
      </c>
      <c r="C115" s="25" t="inlineStr">
        <is>
          <t>Bombeo Planta Potabilizadora Puerto Nizuc</t>
        </is>
      </c>
      <c r="D115" s="13" t="inlineStr">
        <is>
          <t>Anticipo</t>
        </is>
      </c>
      <c r="E115" s="13" t="n">
        <v>0</v>
      </c>
      <c r="F115" s="13" t="inlineStr">
        <is>
          <t>Anticipo</t>
        </is>
      </c>
      <c r="G115" s="13" t="inlineStr">
        <is>
          <t>Anticipo</t>
        </is>
      </c>
      <c r="H115" s="13" t="inlineStr">
        <is>
          <t>Anticipo</t>
        </is>
      </c>
      <c r="I115" s="104" t="n"/>
      <c r="J115" s="108" t="n">
        <v>81685880</v>
      </c>
      <c r="K115" s="108" t="n">
        <v>81685880</v>
      </c>
      <c r="L115" s="13" t="inlineStr">
        <is>
          <t>Validado</t>
        </is>
      </c>
      <c r="M115" s="25" t="inlineStr">
        <is>
          <t>FC A</t>
        </is>
      </c>
      <c r="N115" s="27" t="n">
        <v>2498</v>
      </c>
      <c r="O115" s="106" t="n">
        <v>45897</v>
      </c>
      <c r="P115" s="25" t="inlineStr">
        <is>
          <t>Anticipo Financiero. - Bombeo Planta Potabilizadora Puerto Nizuc (00181)</t>
        </is>
      </c>
      <c r="Q115" s="25" t="inlineStr">
        <is>
          <t>NO</t>
        </is>
      </c>
      <c r="R115" s="25" t="inlineStr">
        <is>
          <t>N/A</t>
        </is>
      </c>
      <c r="S115" s="105">
        <f>+J115</f>
        <v/>
      </c>
      <c r="T115" s="108" t="n"/>
      <c r="U115" s="108">
        <f>+S115*21%</f>
        <v/>
      </c>
      <c r="V115" s="108">
        <f>+S115*3%</f>
        <v/>
      </c>
      <c r="W115" s="108">
        <f>+S115*2.5%</f>
        <v/>
      </c>
      <c r="X115" s="108">
        <f>IF(A115="00-175",S115*0.06,0)</f>
        <v/>
      </c>
      <c r="Y115" s="108" t="n"/>
      <c r="Z115" s="108" t="n"/>
      <c r="AA115" s="108">
        <f>+S115+T115+U115+W115+X115+V115+Y115</f>
        <v/>
      </c>
      <c r="AB115" s="109" t="n">
        <v>45905</v>
      </c>
      <c r="AC115" s="108" t="n">
        <v>103332638.2</v>
      </c>
      <c r="AD115" s="22" t="n"/>
      <c r="AE115" s="105" t="n"/>
      <c r="AF115" s="22" t="n"/>
      <c r="AG115" s="105" t="n"/>
      <c r="AH115" s="105" t="n"/>
      <c r="AI115" s="105">
        <f>+AC115+AE115+AG115+AH115</f>
        <v/>
      </c>
      <c r="AJ115" s="105">
        <f>+AA115-AI115</f>
        <v/>
      </c>
      <c r="AK115" s="21">
        <f>IF(Q115="ANULADA","N/A",IF(ABS(AJ115)&gt;10,"Pendiente",IF(MAX(AB115,AD115,AF115)=0,"Pendiente",MAX(0,MAX(AB115,AD115,AF115)-O115))))</f>
        <v/>
      </c>
    </row>
    <row r="116" hidden="1" ht="15" customHeight="1">
      <c r="A116" s="25" t="inlineStr">
        <is>
          <t>00-181</t>
        </is>
      </c>
      <c r="B116" s="25" t="inlineStr">
        <is>
          <t>FIDEICOMISO MARINAS DEL PLATA</t>
        </is>
      </c>
      <c r="C116" s="25" t="inlineStr">
        <is>
          <t>Bombeo Planta Potabilizadora Puerto Nizuc</t>
        </is>
      </c>
      <c r="D116" s="13" t="inlineStr">
        <is>
          <t>Anticipo</t>
        </is>
      </c>
      <c r="E116" s="13" t="n">
        <v>0</v>
      </c>
      <c r="F116" s="13" t="inlineStr">
        <is>
          <t>Anticipo</t>
        </is>
      </c>
      <c r="G116" s="13" t="inlineStr">
        <is>
          <t>Anticipo</t>
        </is>
      </c>
      <c r="H116" s="13" t="inlineStr">
        <is>
          <t>Anticipo</t>
        </is>
      </c>
      <c r="I116" s="104" t="n"/>
      <c r="J116" s="108" t="n">
        <v>12601653.25</v>
      </c>
      <c r="K116" s="108" t="n">
        <v>12601653.25</v>
      </c>
      <c r="L116" s="13" t="inlineStr">
        <is>
          <t>Validado</t>
        </is>
      </c>
      <c r="M116" s="25" t="inlineStr">
        <is>
          <t>FC A</t>
        </is>
      </c>
      <c r="N116" s="27" t="n">
        <v>2503</v>
      </c>
      <c r="O116" s="106" t="n">
        <v>45899</v>
      </c>
      <c r="P116" s="25" t="inlineStr">
        <is>
          <t>Ampliación Anticipo Financiero, complemento Factura Nº 2498. - Bombeo Planta Potabilizadora Puerto Nizuc (00181)</t>
        </is>
      </c>
      <c r="Q116" s="25" t="inlineStr">
        <is>
          <t>NO</t>
        </is>
      </c>
      <c r="R116" s="25" t="inlineStr">
        <is>
          <t>N/A</t>
        </is>
      </c>
      <c r="S116" s="105">
        <f>+J116</f>
        <v/>
      </c>
      <c r="T116" s="108" t="n"/>
      <c r="U116" s="108">
        <f>+S116*21%</f>
        <v/>
      </c>
      <c r="V116" s="108">
        <f>+S116*3%</f>
        <v/>
      </c>
      <c r="W116" s="108">
        <f>+S116*2.5%</f>
        <v/>
      </c>
      <c r="X116" s="108">
        <f>IF(A116="00-175",S116*0.06,0)</f>
        <v/>
      </c>
      <c r="Y116" s="108" t="n"/>
      <c r="Z116" s="108" t="n"/>
      <c r="AA116" s="108">
        <f>+S116+T116+U116+W116+X116+V116+Y116</f>
        <v/>
      </c>
      <c r="AB116" s="109" t="n">
        <v>45905</v>
      </c>
      <c r="AC116" s="108" t="n">
        <v>15332513.27</v>
      </c>
      <c r="AD116" s="113" t="n">
        <v>45917</v>
      </c>
      <c r="AE116" s="108" t="n">
        <v>608578.09</v>
      </c>
      <c r="AF116" s="22" t="n"/>
      <c r="AG116" s="105" t="n"/>
      <c r="AH116" s="105" t="n"/>
      <c r="AI116" s="105">
        <f>+AC116+AE116+AG116+AH116</f>
        <v/>
      </c>
      <c r="AJ116" s="105">
        <f>+AA116-AI116</f>
        <v/>
      </c>
      <c r="AK116" s="21">
        <f>IF(Q116="ANULADA","N/A",IF(ABS(AJ116)&gt;10,"Pendiente",IF(MAX(AB116,AD116,AF116)=0,"Pendiente",MAX(0,MAX(AB116,AD116,AF116)-O116))))</f>
        <v/>
      </c>
    </row>
    <row r="117" hidden="1" ht="15" customHeight="1">
      <c r="A117" s="25" t="inlineStr">
        <is>
          <t>00-181</t>
        </is>
      </c>
      <c r="B117" s="25" t="inlineStr">
        <is>
          <t>FIDEICOMISO MARINAS DEL PLATA</t>
        </is>
      </c>
      <c r="C117" s="25" t="inlineStr">
        <is>
          <t>Bombeo Planta Potabilizadora Puerto Nizuc</t>
        </is>
      </c>
      <c r="D117" s="13" t="inlineStr">
        <is>
          <t>Oficina Tecnica</t>
        </is>
      </c>
      <c r="E117" s="13" t="n">
        <v>4</v>
      </c>
      <c r="F117" s="13" t="inlineStr">
        <is>
          <t>Basico OFICINA TÉCNICA</t>
        </is>
      </c>
      <c r="G117" s="13" t="inlineStr">
        <is>
          <t>Básico</t>
        </is>
      </c>
      <c r="H117" s="23" t="n">
        <v>45870</v>
      </c>
      <c r="I117" s="104" t="n"/>
      <c r="J117" s="108" t="n">
        <v>17785558.38</v>
      </c>
      <c r="K117" s="108" t="n">
        <v>17785558.38</v>
      </c>
      <c r="L117" s="13" t="inlineStr">
        <is>
          <t>Validado</t>
        </is>
      </c>
      <c r="M117" s="25" t="inlineStr">
        <is>
          <t>FC A</t>
        </is>
      </c>
      <c r="N117" s="27" t="n">
        <v>2513</v>
      </c>
      <c r="O117" s="106" t="n">
        <v>45915</v>
      </c>
      <c r="P117" s="25" t="inlineStr">
        <is>
          <t>Certificado Nº 4 - Jul'25.. - Bombeo Planta Potabilizadora Puerto Nizuc (00181)</t>
        </is>
      </c>
      <c r="Q117" s="25" t="inlineStr">
        <is>
          <t>NO</t>
        </is>
      </c>
      <c r="R117" s="25" t="inlineStr">
        <is>
          <t>N/A</t>
        </is>
      </c>
      <c r="S117" s="105">
        <f>+J117</f>
        <v/>
      </c>
      <c r="T117" s="108" t="n"/>
      <c r="U117" s="108">
        <f>+S117*21%</f>
        <v/>
      </c>
      <c r="V117" s="108">
        <f>+S117*3%</f>
        <v/>
      </c>
      <c r="W117" s="108">
        <f>+S117*2.5%</f>
        <v/>
      </c>
      <c r="X117" s="108">
        <f>IF(A117="00-175",S117*0.06,0)</f>
        <v/>
      </c>
      <c r="Y117" s="108" t="n"/>
      <c r="Z117" s="108" t="n"/>
      <c r="AA117" s="108">
        <f>+S117+T117+U117+W117+X117+V117+Y117</f>
        <v/>
      </c>
      <c r="AB117" s="109" t="n">
        <v>45939</v>
      </c>
      <c r="AC117" s="108" t="n">
        <v>22498731.35</v>
      </c>
      <c r="AD117" s="22" t="n"/>
      <c r="AE117" s="105" t="n"/>
      <c r="AF117" s="22" t="n"/>
      <c r="AG117" s="105" t="n"/>
      <c r="AH117" s="105" t="n"/>
      <c r="AI117" s="105">
        <f>+AC117+AE117+AG117+AH117</f>
        <v/>
      </c>
      <c r="AJ117" s="105">
        <f>+AA117-AI117</f>
        <v/>
      </c>
      <c r="AK117" s="21">
        <f>IF(Q117="ANULADA","N/A",IF(ABS(AJ117)&gt;10,"Pendiente",IF(MAX(AB117,AD117,AF117)=0,"Pendiente",MAX(0,MAX(AB117,AD117,AF117)-O117))))</f>
        <v/>
      </c>
    </row>
    <row r="118" hidden="1" ht="15" customHeight="1">
      <c r="A118" s="25" t="inlineStr">
        <is>
          <t>00-181</t>
        </is>
      </c>
      <c r="B118" s="25" t="inlineStr">
        <is>
          <t>FIDEICOMISO MARINAS DEL PLATA</t>
        </is>
      </c>
      <c r="C118" s="25" t="inlineStr">
        <is>
          <t>Bombeo Planta Potabilizadora Puerto Nizuc</t>
        </is>
      </c>
      <c r="D118" s="13" t="n"/>
      <c r="E118" s="13" t="n"/>
      <c r="F118" s="13" t="n"/>
      <c r="G118" s="13" t="inlineStr">
        <is>
          <t>Desacopio</t>
        </is>
      </c>
      <c r="H118" s="13" t="inlineStr">
        <is>
          <t>Desacopio</t>
        </is>
      </c>
      <c r="I118" s="104" t="n"/>
      <c r="J118" s="108" t="n">
        <v>21615296.4</v>
      </c>
      <c r="K118" s="108" t="n">
        <v>21615296.4</v>
      </c>
      <c r="L118" s="13" t="inlineStr">
        <is>
          <t>Validado</t>
        </is>
      </c>
      <c r="M118" s="25" t="inlineStr">
        <is>
          <t>FC A</t>
        </is>
      </c>
      <c r="N118" s="27" t="n">
        <v>2514</v>
      </c>
      <c r="O118" s="106" t="n">
        <v>45915</v>
      </c>
      <c r="P118" s="25" t="inlineStr">
        <is>
          <t>Ampliación de anticipo (Corresponde a USD 14.604,93 al Tipo de Cambio de $ 1.480,00 BNA). - Bombeo Planta Potabilizadora Puerto Nizuc (00181)</t>
        </is>
      </c>
      <c r="Q118" s="25" t="inlineStr">
        <is>
          <t>NO</t>
        </is>
      </c>
      <c r="R118" s="25" t="inlineStr">
        <is>
          <t>N/A</t>
        </is>
      </c>
      <c r="S118" s="105">
        <f>+J118</f>
        <v/>
      </c>
      <c r="T118" s="108" t="n"/>
      <c r="U118" s="108">
        <f>+S118*21%</f>
        <v/>
      </c>
      <c r="V118" s="108">
        <f>+S118*3%</f>
        <v/>
      </c>
      <c r="W118" s="108">
        <f>+S118*2.5%</f>
        <v/>
      </c>
      <c r="X118" s="108">
        <f>IF(A118="00-175",S118*0.06,0)</f>
        <v/>
      </c>
      <c r="Y118" s="108" t="n"/>
      <c r="Z118" s="108" t="n"/>
      <c r="AA118" s="108">
        <f>+S118+T118+U118+W118+X118+V118+Y118</f>
        <v/>
      </c>
      <c r="AB118" s="109" t="n">
        <v>45939</v>
      </c>
      <c r="AC118" s="108" t="n">
        <v>27343349.94</v>
      </c>
      <c r="AD118" s="22" t="n"/>
      <c r="AE118" s="105" t="n"/>
      <c r="AF118" s="22" t="n"/>
      <c r="AG118" s="105" t="n"/>
      <c r="AH118" s="105" t="n"/>
      <c r="AI118" s="105">
        <f>+AC118+AE118+AG118+AH118</f>
        <v/>
      </c>
      <c r="AJ118" s="105">
        <f>+AA118-AI118</f>
        <v/>
      </c>
      <c r="AK118" s="21">
        <f>IF(Q118="ANULADA","N/A",IF(ABS(AJ118)&gt;10,"Pendiente",IF(MAX(AB118,AD118,AF118)=0,"Pendiente",MAX(0,MAX(AB118,AD118,AF118)-O118))))</f>
        <v/>
      </c>
    </row>
    <row r="119" hidden="1" ht="15" customHeight="1">
      <c r="A119" s="25" t="inlineStr">
        <is>
          <t>00-181</t>
        </is>
      </c>
      <c r="B119" s="25" t="inlineStr">
        <is>
          <t>FIDEICOMISO MARINAS DEL PLATA</t>
        </is>
      </c>
      <c r="C119" s="25" t="inlineStr">
        <is>
          <t>Bombeo Planta Potabilizadora Puerto Nizuc</t>
        </is>
      </c>
      <c r="D119" s="13" t="inlineStr">
        <is>
          <t>Oficina Tecnica</t>
        </is>
      </c>
      <c r="E119" s="13" t="n">
        <v>5</v>
      </c>
      <c r="F119" s="13" t="inlineStr">
        <is>
          <t>Basico OFICINA TÉCNICA</t>
        </is>
      </c>
      <c r="G119" s="13" t="inlineStr">
        <is>
          <t>Básico</t>
        </is>
      </c>
      <c r="H119" s="23" t="n">
        <v>45901</v>
      </c>
      <c r="I119" s="104" t="n"/>
      <c r="J119" s="108" t="n">
        <v>17785558.38</v>
      </c>
      <c r="K119" s="108" t="n">
        <v>17785558.38</v>
      </c>
      <c r="L119" s="13" t="inlineStr">
        <is>
          <t>Validado</t>
        </is>
      </c>
      <c r="M119" s="25" t="inlineStr">
        <is>
          <t>FC A</t>
        </is>
      </c>
      <c r="N119" s="27" t="n">
        <v>2537</v>
      </c>
      <c r="O119" s="106" t="n">
        <v>45952</v>
      </c>
      <c r="P119" s="25" t="inlineStr">
        <is>
          <t>Certificado Nº 5 - Sep'25.. - Bombeo Planta Potabilizadora Puerto Nizuc (00181)</t>
        </is>
      </c>
      <c r="Q119" s="25" t="inlineStr">
        <is>
          <t>NO</t>
        </is>
      </c>
      <c r="R119" s="25" t="inlineStr">
        <is>
          <t>N/A</t>
        </is>
      </c>
      <c r="S119" s="105">
        <f>+J119</f>
        <v/>
      </c>
      <c r="T119" s="108" t="n"/>
      <c r="U119" s="108">
        <f>+S119*21%</f>
        <v/>
      </c>
      <c r="V119" s="108">
        <f>+S119*3%</f>
        <v/>
      </c>
      <c r="W119" s="108">
        <f>+S119*2.5%</f>
        <v/>
      </c>
      <c r="X119" s="108">
        <f>IF(A119="00-175",S119*0.06,0)</f>
        <v/>
      </c>
      <c r="Y119" s="108" t="n"/>
      <c r="Z119" s="108" t="n"/>
      <c r="AA119" s="108">
        <f>+S119+T119+U119+W119+X119+V119+Y119</f>
        <v/>
      </c>
      <c r="AB119" s="109" t="n">
        <v>45988</v>
      </c>
      <c r="AC119" s="108" t="n">
        <v>22498731.35</v>
      </c>
      <c r="AD119" s="22" t="n"/>
      <c r="AE119" s="105" t="n"/>
      <c r="AF119" s="22" t="n"/>
      <c r="AG119" s="105" t="n"/>
      <c r="AH119" s="105" t="n"/>
      <c r="AI119" s="105">
        <f>+AC119+AE119+AG119+AH119</f>
        <v/>
      </c>
      <c r="AJ119" s="105">
        <f>+AA119-AI119</f>
        <v/>
      </c>
      <c r="AK119" s="21">
        <f>IF(Q119="ANULADA","N/A",IF(ABS(AJ119)&gt;10,"Pendiente",IF(MAX(AB119,AD119,AF119)=0,"Pendiente",MAX(0,MAX(AB119,AD119,AF119)-O119))))</f>
        <v/>
      </c>
    </row>
    <row r="120" hidden="1" ht="15" customHeight="1">
      <c r="A120" s="25" t="inlineStr">
        <is>
          <t>00-181</t>
        </is>
      </c>
      <c r="B120" s="25" t="inlineStr">
        <is>
          <t>FIDEICOMISO MARINAS DEL PLATA</t>
        </is>
      </c>
      <c r="C120" s="25" t="inlineStr">
        <is>
          <t>Bombeo Planta Potabilizadora Puerto Nizuc</t>
        </is>
      </c>
      <c r="D120" s="13" t="inlineStr">
        <is>
          <t>Oficina Tecnica</t>
        </is>
      </c>
      <c r="E120" s="13" t="n">
        <v>6</v>
      </c>
      <c r="F120" s="13" t="inlineStr">
        <is>
          <t>Basico OFICINA TÉCNICA</t>
        </is>
      </c>
      <c r="G120" s="13" t="inlineStr">
        <is>
          <t>Básico</t>
        </is>
      </c>
      <c r="H120" s="23" t="n">
        <v>45931</v>
      </c>
      <c r="I120" s="104" t="n"/>
      <c r="J120" s="108" t="n">
        <v>17785558.38</v>
      </c>
      <c r="K120" s="108" t="n">
        <v>17785558.38</v>
      </c>
      <c r="L120" s="13" t="inlineStr">
        <is>
          <t>Validado</t>
        </is>
      </c>
      <c r="M120" s="25" t="inlineStr">
        <is>
          <t>FC A</t>
        </is>
      </c>
      <c r="N120" s="27" t="n">
        <v>2547</v>
      </c>
      <c r="O120" s="106" t="n">
        <v>45986</v>
      </c>
      <c r="P120" s="25" t="inlineStr">
        <is>
          <t>Certificado Nº 6 - Oct'25.. - Bombeo Planta Potabilizadora Puerto Nizuc (00181)</t>
        </is>
      </c>
      <c r="Q120" s="25" t="inlineStr">
        <is>
          <t>NO</t>
        </is>
      </c>
      <c r="R120" s="25" t="inlineStr">
        <is>
          <t>N/A</t>
        </is>
      </c>
      <c r="S120" s="105">
        <f>+J120</f>
        <v/>
      </c>
      <c r="T120" s="108" t="n"/>
      <c r="U120" s="108">
        <f>+S120*21%</f>
        <v/>
      </c>
      <c r="V120" s="108">
        <f>+S120*3%</f>
        <v/>
      </c>
      <c r="W120" s="108">
        <f>+S120*2.5%</f>
        <v/>
      </c>
      <c r="X120" s="108">
        <f>IF(A120="00-175",S120*0.06,0)</f>
        <v/>
      </c>
      <c r="Y120" s="108" t="n"/>
      <c r="Z120" s="108" t="n"/>
      <c r="AA120" s="108">
        <f>+S120+T120+U120+W120+X120+V120+Y120</f>
        <v/>
      </c>
      <c r="AB120" s="109" t="n">
        <v>46079</v>
      </c>
      <c r="AC120" s="108" t="n">
        <v>22498731.35</v>
      </c>
      <c r="AD120" s="22" t="n"/>
      <c r="AE120" s="105" t="n"/>
      <c r="AF120" s="22" t="n"/>
      <c r="AG120" s="105" t="n"/>
      <c r="AH120" s="105" t="n"/>
      <c r="AI120" s="105">
        <f>+AC120+AE120+AG120+AH120</f>
        <v/>
      </c>
      <c r="AJ120" s="105">
        <f>+AA120-AI120</f>
        <v/>
      </c>
      <c r="AK120" s="21">
        <f>IF(Q120="ANULADA","N/A",IF(ABS(AJ120)&gt;10,"Pendiente",IF(MAX(AB120,AD120,AF120)=0,"Pendiente",MAX(0,MAX(AB120,AD120,AF120)-O120))))</f>
        <v/>
      </c>
    </row>
    <row r="121" hidden="1" ht="15" customHeight="1">
      <c r="A121" s="25" t="inlineStr">
        <is>
          <t>00-181</t>
        </is>
      </c>
      <c r="B121" s="25" t="inlineStr">
        <is>
          <t>FIDEICOMISO MARINAS DEL PLATA</t>
        </is>
      </c>
      <c r="C121" s="25" t="inlineStr">
        <is>
          <t>Bombeo Planta Potabilizadora Puerto Nizuc</t>
        </is>
      </c>
      <c r="D121" s="13" t="n"/>
      <c r="E121" s="13" t="n"/>
      <c r="F121" s="13" t="inlineStr">
        <is>
          <t>Anticipo</t>
        </is>
      </c>
      <c r="G121" s="13" t="inlineStr">
        <is>
          <t>Desacopio</t>
        </is>
      </c>
      <c r="H121" s="13" t="inlineStr">
        <is>
          <t>Desacopio</t>
        </is>
      </c>
      <c r="I121" s="104" t="n"/>
      <c r="J121" s="105" t="n">
        <v>48893832.04</v>
      </c>
      <c r="K121" s="105" t="n">
        <v>48893832.04</v>
      </c>
      <c r="L121" s="13" t="inlineStr">
        <is>
          <t>Validado</t>
        </is>
      </c>
      <c r="M121" s="25" t="inlineStr">
        <is>
          <t>FC A</t>
        </is>
      </c>
      <c r="N121" s="27" t="n">
        <v>2548</v>
      </c>
      <c r="O121" s="106" t="n">
        <v>46028</v>
      </c>
      <c r="P121" s="25" t="inlineStr">
        <is>
          <t>Anticipo Financiero.</t>
        </is>
      </c>
      <c r="Q121" s="25" t="inlineStr">
        <is>
          <t>NO</t>
        </is>
      </c>
      <c r="R121" s="25" t="inlineStr">
        <is>
          <t>N/A</t>
        </is>
      </c>
      <c r="S121" s="105">
        <f>+J121</f>
        <v/>
      </c>
      <c r="T121" s="105" t="n"/>
      <c r="U121" s="105">
        <f>+S121*21%</f>
        <v/>
      </c>
      <c r="V121" s="105">
        <f>+S121*3%</f>
        <v/>
      </c>
      <c r="W121" s="105">
        <f>+S121*2.5%</f>
        <v/>
      </c>
      <c r="X121" s="105">
        <f>IF(A121="00-175",S121*0.06,0)</f>
        <v/>
      </c>
      <c r="Y121" s="105" t="n"/>
      <c r="Z121" s="105" t="n"/>
      <c r="AA121" s="105">
        <f>+S121+T121+U121+W121+X121+V121+Y121</f>
        <v/>
      </c>
      <c r="AB121" s="109" t="n">
        <v>46079</v>
      </c>
      <c r="AC121" s="105" t="n">
        <v>61850697.5306</v>
      </c>
      <c r="AD121" s="20" t="n"/>
      <c r="AE121" s="105" t="n"/>
      <c r="AF121" s="25" t="n"/>
      <c r="AG121" s="105" t="n"/>
      <c r="AH121" s="105" t="n"/>
      <c r="AI121" s="105">
        <f>+AC121+AE121+AG121+AH121</f>
        <v/>
      </c>
      <c r="AJ121" s="105">
        <f>+AA121-AI121</f>
        <v/>
      </c>
      <c r="AK121" s="21">
        <f>IF(Q121="ANULADA","N/A",IF(ABS(AJ121)&gt;10,"Pendiente",IF(MAX(AB121,AD121,AF121)=0,"Pendiente",MAX(0,MAX(AB121,AD121,AF121)-O121))))</f>
        <v/>
      </c>
    </row>
    <row r="122" hidden="1" ht="15" customHeight="1">
      <c r="A122" s="25" t="inlineStr">
        <is>
          <t>00-181</t>
        </is>
      </c>
      <c r="B122" s="25" t="inlineStr">
        <is>
          <t>FIDEICOMISO MARINAS DEL PLATA</t>
        </is>
      </c>
      <c r="C122" s="25" t="inlineStr">
        <is>
          <t>Bombeo Planta Potabilizadora Puerto Nizuc</t>
        </is>
      </c>
      <c r="D122" s="13" t="inlineStr">
        <is>
          <t>Manifold y Tableros</t>
        </is>
      </c>
      <c r="E122" s="13" t="n">
        <v>1</v>
      </c>
      <c r="F122" s="13" t="inlineStr">
        <is>
          <t>Basico Manifold y tablero</t>
        </is>
      </c>
      <c r="G122" s="13" t="inlineStr">
        <is>
          <t>Básico</t>
        </is>
      </c>
      <c r="H122" s="23" t="n">
        <v>45931</v>
      </c>
      <c r="I122" s="104" t="n">
        <v>2528886.05</v>
      </c>
      <c r="J122" s="105" t="n">
        <v>7988039.25</v>
      </c>
      <c r="K122" s="105" t="n">
        <v>7988039.25</v>
      </c>
      <c r="L122" s="13" t="inlineStr">
        <is>
          <t>Validado</t>
        </is>
      </c>
      <c r="M122" s="25" t="inlineStr">
        <is>
          <t>FC A</t>
        </is>
      </c>
      <c r="N122" s="27" t="n">
        <v>2549</v>
      </c>
      <c r="O122" s="106" t="n">
        <v>46028</v>
      </c>
      <c r="P122" s="25" t="inlineStr">
        <is>
          <t>Certificado Básico Nº 1 - Oct'25..</t>
        </is>
      </c>
      <c r="Q122" s="25" t="inlineStr">
        <is>
          <t>NO</t>
        </is>
      </c>
      <c r="R122" s="25" t="inlineStr">
        <is>
          <t>N/A</t>
        </is>
      </c>
      <c r="S122" s="105">
        <f>+J122</f>
        <v/>
      </c>
      <c r="T122" s="105" t="n"/>
      <c r="U122" s="105">
        <f>+S122*21%</f>
        <v/>
      </c>
      <c r="V122" s="105">
        <f>+S122*3%</f>
        <v/>
      </c>
      <c r="W122" s="105">
        <f>+S122*2.5%</f>
        <v/>
      </c>
      <c r="X122" s="105">
        <f>IF(A122="00-175",S122*0.06,0)</f>
        <v/>
      </c>
      <c r="Y122" s="105" t="n"/>
      <c r="Z122" s="105" t="n"/>
      <c r="AA122" s="105">
        <f>+S122+T122+U122+W122+X122+V122+Y122</f>
        <v/>
      </c>
      <c r="AB122" s="109" t="n">
        <v>46079</v>
      </c>
      <c r="AC122" s="105" t="n">
        <v>10104869.65125</v>
      </c>
      <c r="AD122" s="20" t="n"/>
      <c r="AE122" s="105" t="n"/>
      <c r="AF122" s="25" t="n"/>
      <c r="AG122" s="105" t="n"/>
      <c r="AH122" s="105" t="n"/>
      <c r="AI122" s="105">
        <f>+AC122+AE122+AG122+AH122</f>
        <v/>
      </c>
      <c r="AJ122" s="105">
        <f>+AA122-AI122</f>
        <v/>
      </c>
      <c r="AK122" s="21">
        <f>IF(Q122="ANULADA","N/A",IF(ABS(AJ122)&gt;10,"Pendiente",IF(MAX(AB122,AD122,AF122)=0,"Pendiente",MAX(0,MAX(AB122,AD122,AF122)-O122))))</f>
        <v/>
      </c>
    </row>
    <row r="123" hidden="1" ht="15" customHeight="1">
      <c r="A123" s="25" t="inlineStr">
        <is>
          <t>00-181</t>
        </is>
      </c>
      <c r="B123" s="25" t="inlineStr">
        <is>
          <t>FIDEICOMISO MARINAS DEL PLATA</t>
        </is>
      </c>
      <c r="C123" s="25" t="inlineStr">
        <is>
          <t>Bombeo Planta Potabilizadora Puerto Nizuc</t>
        </is>
      </c>
      <c r="D123" s="13" t="inlineStr">
        <is>
          <t>Maniforld y Tableros</t>
        </is>
      </c>
      <c r="E123" s="13" t="n">
        <v>1</v>
      </c>
      <c r="F123" s="13" t="inlineStr">
        <is>
          <t>Redet Manifold y tablero</t>
        </is>
      </c>
      <c r="G123" s="13" t="inlineStr">
        <is>
          <t>Redet.</t>
        </is>
      </c>
      <c r="H123" s="23" t="n">
        <v>45931</v>
      </c>
      <c r="I123" s="104" t="n"/>
      <c r="J123" s="105" t="n">
        <v>431697.66</v>
      </c>
      <c r="K123" s="105" t="n">
        <v>431697.66</v>
      </c>
      <c r="L123" s="13" t="inlineStr">
        <is>
          <t>Validado</t>
        </is>
      </c>
      <c r="M123" s="25" t="inlineStr">
        <is>
          <t>FC A</t>
        </is>
      </c>
      <c r="N123" s="27" t="n">
        <v>2550</v>
      </c>
      <c r="O123" s="106" t="n">
        <v>46028</v>
      </c>
      <c r="P123" s="25" t="inlineStr">
        <is>
          <t>Certificado de Redeterminación Provisoria Nº 6 - Oct'25..</t>
        </is>
      </c>
      <c r="Q123" s="25" t="inlineStr">
        <is>
          <t>NO</t>
        </is>
      </c>
      <c r="R123" s="25" t="inlineStr">
        <is>
          <t>N/A</t>
        </is>
      </c>
      <c r="S123" s="105">
        <f>+J123</f>
        <v/>
      </c>
      <c r="T123" s="105" t="n"/>
      <c r="U123" s="105">
        <f>+S123*21%</f>
        <v/>
      </c>
      <c r="V123" s="105">
        <f>+S123*3%</f>
        <v/>
      </c>
      <c r="W123" s="105">
        <f>+S123*2.5%</f>
        <v/>
      </c>
      <c r="X123" s="105">
        <f>IF(A123="00-175",S123*0.06,0)</f>
        <v/>
      </c>
      <c r="Y123" s="105" t="n"/>
      <c r="Z123" s="105" t="n"/>
      <c r="AA123" s="105">
        <f>+S123+T123+U123+W123+X123+V123+Y123</f>
        <v/>
      </c>
      <c r="AB123" s="109" t="n">
        <v>46079</v>
      </c>
      <c r="AC123" s="105" t="n">
        <v>546097.5399</v>
      </c>
      <c r="AD123" s="20" t="n"/>
      <c r="AE123" s="105" t="n"/>
      <c r="AF123" s="25" t="n"/>
      <c r="AG123" s="105" t="n"/>
      <c r="AH123" s="105" t="n"/>
      <c r="AI123" s="105">
        <f>+AC123+AE123+AG123+AH123</f>
        <v/>
      </c>
      <c r="AJ123" s="105">
        <f>+AA123-AI123</f>
        <v/>
      </c>
      <c r="AK123" s="21">
        <f>IF(Q123="ANULADA","N/A",IF(ABS(AJ123)&gt;10,"Pendiente",IF(MAX(AB123,AD123,AF123)=0,"Pendiente",MAX(0,MAX(AB123,AD123,AF123)-O123))))</f>
        <v/>
      </c>
    </row>
    <row r="124" hidden="1" ht="15" customHeight="1">
      <c r="A124" s="25" t="inlineStr">
        <is>
          <t>00-181</t>
        </is>
      </c>
      <c r="B124" s="25" t="inlineStr">
        <is>
          <t>FIDEICOMISO MARINAS DEL PLATA</t>
        </is>
      </c>
      <c r="C124" s="25" t="inlineStr">
        <is>
          <t>Bombeo Planta Potabilizadora Puerto Nizuc</t>
        </is>
      </c>
      <c r="D124" s="13" t="inlineStr">
        <is>
          <t>Oficina Tecnica</t>
        </is>
      </c>
      <c r="E124" s="13" t="n">
        <v>7</v>
      </c>
      <c r="F124" s="13" t="inlineStr">
        <is>
          <t>Basico OFICINA TÉCNICA</t>
        </is>
      </c>
      <c r="G124" s="13" t="inlineStr">
        <is>
          <t>Básico</t>
        </is>
      </c>
      <c r="H124" s="23" t="n">
        <v>45962</v>
      </c>
      <c r="I124" s="104" t="n"/>
      <c r="J124" s="105" t="n">
        <v>17785558.38</v>
      </c>
      <c r="K124" s="105" t="n">
        <v>17785558.38</v>
      </c>
      <c r="L124" s="13" t="inlineStr">
        <is>
          <t>Validado</t>
        </is>
      </c>
      <c r="M124" s="25" t="inlineStr">
        <is>
          <t>FC A</t>
        </is>
      </c>
      <c r="N124" s="27" t="n">
        <v>2558</v>
      </c>
      <c r="O124" s="106" t="n">
        <v>46028</v>
      </c>
      <c r="P124" s="25" t="inlineStr">
        <is>
          <t>Certificado Nº 7 - Nov'25. - Bombeo Planta Potabilizadora Puerto Nizuc (00181)</t>
        </is>
      </c>
      <c r="Q124" s="25" t="inlineStr">
        <is>
          <t>NO</t>
        </is>
      </c>
      <c r="R124" s="25" t="inlineStr">
        <is>
          <t>N/A</t>
        </is>
      </c>
      <c r="S124" s="105">
        <f>+J124</f>
        <v/>
      </c>
      <c r="T124" s="105" t="n"/>
      <c r="U124" s="105">
        <f>+S124*21%</f>
        <v/>
      </c>
      <c r="V124" s="105">
        <f>+S124*3%</f>
        <v/>
      </c>
      <c r="W124" s="105">
        <f>+S124*2.5%</f>
        <v/>
      </c>
      <c r="X124" s="105">
        <f>IF(A124="00-175",S124*0.06,0)</f>
        <v/>
      </c>
      <c r="Y124" s="105" t="n"/>
      <c r="Z124" s="105" t="n"/>
      <c r="AA124" s="105">
        <f>+S124+T124+U124+W124+X124+V124+Y124</f>
        <v/>
      </c>
      <c r="AB124" s="109" t="n">
        <v>46057</v>
      </c>
      <c r="AC124" s="105" t="n">
        <v>22498731.35</v>
      </c>
      <c r="AD124" s="20" t="n"/>
      <c r="AE124" s="105" t="n"/>
      <c r="AF124" s="25" t="n"/>
      <c r="AG124" s="105" t="n"/>
      <c r="AH124" s="105" t="n"/>
      <c r="AI124" s="105">
        <f>+AC124+AE124+AG124+AH124</f>
        <v/>
      </c>
      <c r="AJ124" s="105">
        <f>+AA124-AI124</f>
        <v/>
      </c>
      <c r="AK124" s="21">
        <f>IF(Q124="ANULADA","N/A",IF(ABS(AJ124)&gt;10,"Pendiente",IF(MAX(AB124,AD124,AF124)=0,"Pendiente",MAX(0,MAX(AB124,AD124,AF124)-O124))))</f>
        <v/>
      </c>
    </row>
    <row r="125" hidden="1" ht="15" customHeight="1">
      <c r="A125" s="25" t="inlineStr">
        <is>
          <t>00-181</t>
        </is>
      </c>
      <c r="B125" s="25" t="inlineStr">
        <is>
          <t>FIDEICOMISO MARINAS DEL PLATA</t>
        </is>
      </c>
      <c r="C125" s="25" t="inlineStr">
        <is>
          <t>Bombeo Planta Potabilizadora Puerto Nizuc</t>
        </is>
      </c>
      <c r="D125" s="13" t="inlineStr">
        <is>
          <t>Oficina Tecnica</t>
        </is>
      </c>
      <c r="E125" s="13" t="n">
        <v>8</v>
      </c>
      <c r="F125" s="13" t="inlineStr">
        <is>
          <t>Basico OFICINA TÉCNICA</t>
        </is>
      </c>
      <c r="G125" s="13" t="inlineStr">
        <is>
          <t>Básico</t>
        </is>
      </c>
      <c r="H125" s="23" t="n">
        <v>45992</v>
      </c>
      <c r="I125" s="104" t="n"/>
      <c r="J125" s="105" t="n">
        <v>17785558.38</v>
      </c>
      <c r="K125" s="105" t="n">
        <v>17785558.38</v>
      </c>
      <c r="L125" s="13" t="inlineStr">
        <is>
          <t>Validado</t>
        </is>
      </c>
      <c r="M125" s="25" t="inlineStr">
        <is>
          <t>FC A</t>
        </is>
      </c>
      <c r="N125" s="27" t="n">
        <v>2559</v>
      </c>
      <c r="O125" s="106" t="n">
        <v>46028</v>
      </c>
      <c r="P125" s="25" t="inlineStr">
        <is>
          <t>Certificado Nº 8 - Dic'25. - Bombeo Planta Potabilizadora Puerto Nizuc (00181)</t>
        </is>
      </c>
      <c r="Q125" s="25" t="inlineStr">
        <is>
          <t>NO</t>
        </is>
      </c>
      <c r="R125" s="25" t="inlineStr">
        <is>
          <t>N/A</t>
        </is>
      </c>
      <c r="S125" s="105">
        <f>+J125</f>
        <v/>
      </c>
      <c r="T125" s="105" t="n"/>
      <c r="U125" s="105">
        <f>+S125*21%</f>
        <v/>
      </c>
      <c r="V125" s="105">
        <f>+S125*3%</f>
        <v/>
      </c>
      <c r="W125" s="105">
        <f>+S125*2.5%</f>
        <v/>
      </c>
      <c r="X125" s="105">
        <f>IF(A125="00-175",S125*0.06,0)</f>
        <v/>
      </c>
      <c r="Y125" s="105" t="n"/>
      <c r="Z125" s="105" t="n"/>
      <c r="AA125" s="105">
        <f>+S125+T125+U125+W125+X125+V125+Y125</f>
        <v/>
      </c>
      <c r="AB125" s="109" t="n">
        <v>46057</v>
      </c>
      <c r="AC125" s="105" t="n">
        <v>22498731.35</v>
      </c>
      <c r="AD125" s="20" t="n"/>
      <c r="AE125" s="105" t="n"/>
      <c r="AF125" s="25" t="n"/>
      <c r="AG125" s="105" t="n"/>
      <c r="AH125" s="105" t="n"/>
      <c r="AI125" s="105">
        <f>+AC125+AE125+AG125+AH125</f>
        <v/>
      </c>
      <c r="AJ125" s="105">
        <f>+AA125-AI125</f>
        <v/>
      </c>
      <c r="AK125" s="21">
        <f>IF(Q125="ANULADA","N/A",IF(ABS(AJ125)&gt;10,"Pendiente",IF(MAX(AB125,AD125,AF125)=0,"Pendiente",MAX(0,MAX(AB125,AD125,AF125)-O125))))</f>
        <v/>
      </c>
    </row>
    <row r="126" hidden="1" ht="15" customHeight="1">
      <c r="A126" s="25" t="inlineStr">
        <is>
          <t>00-181</t>
        </is>
      </c>
      <c r="B126" s="25" t="inlineStr">
        <is>
          <t>FIDEICOMISO MARINAS DEL PLATA</t>
        </is>
      </c>
      <c r="C126" s="25" t="inlineStr">
        <is>
          <t>Bombeo Planta Potabilizadora Puerto Nizuc</t>
        </is>
      </c>
      <c r="D126" s="13" t="inlineStr">
        <is>
          <t>Manifold y Tableros</t>
        </is>
      </c>
      <c r="E126" s="13" t="n">
        <v>2</v>
      </c>
      <c r="F126" s="13" t="inlineStr">
        <is>
          <t>Basico Manifold y tablero</t>
        </is>
      </c>
      <c r="G126" s="13" t="inlineStr">
        <is>
          <t>Básico</t>
        </is>
      </c>
      <c r="H126" s="23" t="n">
        <v>45962</v>
      </c>
      <c r="I126" s="104" t="n">
        <v>30811758.52</v>
      </c>
      <c r="J126" s="105" t="n">
        <v>79721853.45999999</v>
      </c>
      <c r="K126" s="105" t="n">
        <v>79721853.45999999</v>
      </c>
      <c r="L126" s="13" t="inlineStr">
        <is>
          <t>Validado</t>
        </is>
      </c>
      <c r="M126" s="25" t="inlineStr">
        <is>
          <t>FC A</t>
        </is>
      </c>
      <c r="N126" s="27" t="n">
        <v>2560</v>
      </c>
      <c r="O126" s="106" t="n">
        <v>46029</v>
      </c>
      <c r="P126" s="25" t="inlineStr">
        <is>
          <t>Cetificado Básico Nº 1 - Nov'25 - Bombeo Planta Potabilizadora Puerto Nizuc (00181)</t>
        </is>
      </c>
      <c r="Q126" s="25" t="inlineStr">
        <is>
          <t>NO</t>
        </is>
      </c>
      <c r="R126" s="25" t="inlineStr">
        <is>
          <t>N/A</t>
        </is>
      </c>
      <c r="S126" s="105">
        <f>+J126</f>
        <v/>
      </c>
      <c r="T126" s="105" t="n"/>
      <c r="U126" s="105">
        <f>+S126*21%</f>
        <v/>
      </c>
      <c r="V126" s="105">
        <f>+S126*3%</f>
        <v/>
      </c>
      <c r="W126" s="105">
        <f>+S126*2.5%</f>
        <v/>
      </c>
      <c r="X126" s="105">
        <f>IF(A126="00-175",S126*0.06,0)</f>
        <v/>
      </c>
      <c r="Y126" s="105" t="n"/>
      <c r="Z126" s="105" t="n"/>
      <c r="AA126" s="105">
        <f>+S126+T126+U126+W126+X126+V126+Y126</f>
        <v/>
      </c>
      <c r="AB126" s="109" t="n">
        <v>46057</v>
      </c>
      <c r="AC126" s="105" t="n">
        <v>100848144.63</v>
      </c>
      <c r="AD126" s="20" t="n"/>
      <c r="AE126" s="105" t="n"/>
      <c r="AF126" s="25" t="n"/>
      <c r="AG126" s="105" t="n"/>
      <c r="AH126" s="105" t="n"/>
      <c r="AI126" s="105">
        <f>+AC126+AE126+AG126+AH126</f>
        <v/>
      </c>
      <c r="AJ126" s="105">
        <f>+AA126-AI126</f>
        <v/>
      </c>
      <c r="AK126" s="21">
        <f>IF(Q126="ANULADA","N/A",IF(ABS(AJ126)&gt;10,"Pendiente",IF(MAX(AB126,AD126,AF126)=0,"Pendiente",MAX(0,MAX(AB126,AD126,AF126)-O126))))</f>
        <v/>
      </c>
    </row>
    <row r="127" hidden="1" ht="15" customHeight="1">
      <c r="A127" s="25" t="inlineStr">
        <is>
          <t>00-181</t>
        </is>
      </c>
      <c r="B127" s="25" t="inlineStr">
        <is>
          <t>FIDEICOMISO MARINAS DEL PLATA</t>
        </is>
      </c>
      <c r="C127" s="25" t="inlineStr">
        <is>
          <t>Bombeo Planta Potabilizadora Puerto Nizuc</t>
        </is>
      </c>
      <c r="D127" s="13" t="inlineStr">
        <is>
          <t>Maniforld y Tableros</t>
        </is>
      </c>
      <c r="E127" s="13" t="n">
        <v>2</v>
      </c>
      <c r="F127" s="13" t="inlineStr">
        <is>
          <t>Redet Manifold y tablero</t>
        </is>
      </c>
      <c r="G127" s="13" t="inlineStr">
        <is>
          <t>Redet.</t>
        </is>
      </c>
      <c r="H127" s="23" t="n">
        <v>45962</v>
      </c>
      <c r="I127" s="104" t="n"/>
      <c r="J127" s="105" t="n">
        <v>11034931.38</v>
      </c>
      <c r="K127" s="105" t="n">
        <v>11034931.38</v>
      </c>
      <c r="L127" s="13" t="inlineStr">
        <is>
          <t>Validado</t>
        </is>
      </c>
      <c r="M127" s="25" t="inlineStr">
        <is>
          <t>FC A</t>
        </is>
      </c>
      <c r="N127" s="27" t="n">
        <v>2561</v>
      </c>
      <c r="O127" s="106" t="n">
        <v>46029</v>
      </c>
      <c r="P127" s="25" t="inlineStr">
        <is>
          <t>Certificado de Redeterminación Provisoria de Precios Nº 2 - Nov'25. - Bombeo Planta Potabilizadora Puerto Nizuc (00181)</t>
        </is>
      </c>
      <c r="Q127" s="25" t="inlineStr">
        <is>
          <t>NO</t>
        </is>
      </c>
      <c r="R127" s="25" t="inlineStr">
        <is>
          <t>N/A</t>
        </is>
      </c>
      <c r="S127" s="105">
        <f>+J127</f>
        <v/>
      </c>
      <c r="T127" s="105" t="n"/>
      <c r="U127" s="105">
        <f>+S127*21%</f>
        <v/>
      </c>
      <c r="V127" s="105">
        <f>+S127*3%</f>
        <v/>
      </c>
      <c r="W127" s="105">
        <f>+S127*2.5%</f>
        <v/>
      </c>
      <c r="X127" s="105">
        <f>IF(A127="00-175",S127*0.06,0)</f>
        <v/>
      </c>
      <c r="Y127" s="105" t="n"/>
      <c r="Z127" s="105" t="n"/>
      <c r="AA127" s="105">
        <f>+S127+T127+U127+W127+X127+V127+Y127</f>
        <v/>
      </c>
      <c r="AB127" s="109" t="n">
        <v>46057</v>
      </c>
      <c r="AC127" s="105" t="n">
        <v>13959188.19</v>
      </c>
      <c r="AD127" s="20" t="n"/>
      <c r="AE127" s="105" t="n"/>
      <c r="AF127" s="25" t="n"/>
      <c r="AG127" s="105" t="n"/>
      <c r="AH127" s="105" t="n"/>
      <c r="AI127" s="105">
        <f>+AC127+AE127+AG127+AH127</f>
        <v/>
      </c>
      <c r="AJ127" s="105">
        <f>+AA127-AI127</f>
        <v/>
      </c>
      <c r="AK127" s="21">
        <f>IF(Q127="ANULADA","N/A",IF(ABS(AJ127)&gt;10,"Pendiente",IF(MAX(AB127,AD127,AF127)=0,"Pendiente",MAX(0,MAX(AB127,AD127,AF127)-O127))))</f>
        <v/>
      </c>
    </row>
    <row r="128" hidden="1" ht="15" customHeight="1">
      <c r="A128" s="25" t="inlineStr">
        <is>
          <t>00-181</t>
        </is>
      </c>
      <c r="B128" s="25" t="inlineStr">
        <is>
          <t>FIDEICOMISO MARINAS DEL PLATA</t>
        </is>
      </c>
      <c r="C128" s="25" t="inlineStr">
        <is>
          <t>Bombeo Planta Potabilizadora Puerto Nizuc</t>
        </is>
      </c>
      <c r="D128" s="13" t="inlineStr">
        <is>
          <t>Manifold y Tableros</t>
        </is>
      </c>
      <c r="E128" s="13" t="n">
        <v>3</v>
      </c>
      <c r="F128" s="13" t="inlineStr">
        <is>
          <t>Basico Manifold y tablero</t>
        </is>
      </c>
      <c r="G128" s="13" t="inlineStr">
        <is>
          <t>Básico</t>
        </is>
      </c>
      <c r="H128" s="23" t="n">
        <v>45992</v>
      </c>
      <c r="I128" s="104" t="n">
        <v>20632040.68</v>
      </c>
      <c r="J128" s="105" t="n">
        <v>54243093.79</v>
      </c>
      <c r="K128" s="105" t="n">
        <v>54243093.79</v>
      </c>
      <c r="L128" s="13" t="inlineStr">
        <is>
          <t>Validado</t>
        </is>
      </c>
      <c r="M128" s="25" t="inlineStr">
        <is>
          <t>FC A</t>
        </is>
      </c>
      <c r="N128" s="27" t="n">
        <v>2573</v>
      </c>
      <c r="O128" s="106" t="n">
        <v>46053</v>
      </c>
      <c r="P128" s="25" t="inlineStr">
        <is>
          <t>Certificado Básico Nº 3 - Dic'25.. - Bombeo Planta Potabilizadora Puerto Nizuc (00181)</t>
        </is>
      </c>
      <c r="Q128" s="25" t="inlineStr">
        <is>
          <t>NO</t>
        </is>
      </c>
      <c r="R128" s="25" t="inlineStr">
        <is>
          <t>N/A</t>
        </is>
      </c>
      <c r="S128" s="105">
        <f>+J128</f>
        <v/>
      </c>
      <c r="T128" s="105" t="n"/>
      <c r="U128" s="105">
        <f>+S128*21%</f>
        <v/>
      </c>
      <c r="V128" s="105">
        <f>+S128*3%</f>
        <v/>
      </c>
      <c r="W128" s="105">
        <f>+S128*2.5%</f>
        <v/>
      </c>
      <c r="X128" s="105">
        <f>IF(A128="00-175",S128*0.06,0)</f>
        <v/>
      </c>
      <c r="Y128" s="105" t="n"/>
      <c r="Z128" s="105" t="n"/>
      <c r="AA128" s="105">
        <f>+S128+T128+U128+W128+X128+V128+Y128</f>
        <v/>
      </c>
      <c r="AB128" s="109" t="n">
        <v>46079</v>
      </c>
      <c r="AC128" s="105" t="n">
        <v>68617513.64</v>
      </c>
      <c r="AD128" s="20" t="n"/>
      <c r="AE128" s="105" t="n"/>
      <c r="AF128" s="25" t="n"/>
      <c r="AG128" s="105" t="n"/>
      <c r="AH128" s="105" t="n"/>
      <c r="AI128" s="105">
        <f>+AC128+AE128+AG128+AH128</f>
        <v/>
      </c>
      <c r="AJ128" s="105">
        <f>+AA128-AI128</f>
        <v/>
      </c>
      <c r="AK128" s="21">
        <f>IF(Q128="ANULADA","N/A",IF(ABS(AJ128)&gt;10,"Pendiente",IF(MAX(AB128,AD128,AF128)=0,"Pendiente",MAX(0,MAX(AB128,AD128,AF128)-O128))))</f>
        <v/>
      </c>
    </row>
    <row r="129" hidden="1" ht="15" customHeight="1">
      <c r="A129" s="25" t="inlineStr">
        <is>
          <t>00-181</t>
        </is>
      </c>
      <c r="B129" s="25" t="inlineStr">
        <is>
          <t>FIDEICOMISO MARINAS DEL PLATA</t>
        </is>
      </c>
      <c r="C129" s="25" t="inlineStr">
        <is>
          <t>Bombeo Planta Potabilizadora Puerto Nizuc</t>
        </is>
      </c>
      <c r="D129" s="13" t="inlineStr">
        <is>
          <t>Maniforld y Tableros</t>
        </is>
      </c>
      <c r="E129" s="13" t="n">
        <v>3</v>
      </c>
      <c r="F129" s="13" t="inlineStr">
        <is>
          <t>Redet Manifold y tablero</t>
        </is>
      </c>
      <c r="G129" s="13" t="inlineStr">
        <is>
          <t>Redet.</t>
        </is>
      </c>
      <c r="H129" s="23" t="n">
        <v>45992</v>
      </c>
      <c r="I129" s="104" t="n"/>
      <c r="J129" s="105" t="n">
        <v>9778629.630000001</v>
      </c>
      <c r="K129" s="105" t="n">
        <v>9778629.630000001</v>
      </c>
      <c r="L129" s="13" t="inlineStr">
        <is>
          <t>Validado</t>
        </is>
      </c>
      <c r="M129" s="25" t="inlineStr">
        <is>
          <t>FC A</t>
        </is>
      </c>
      <c r="N129" s="27" t="n">
        <v>2574</v>
      </c>
      <c r="O129" s="106" t="n">
        <v>46053</v>
      </c>
      <c r="P129" s="25" t="inlineStr">
        <is>
          <t>Certificado de Redeterminación Provisoria Nº 3 - Dic'25. - Bombeo Planta Potabilizadora Puerto Nizuc (00181)</t>
        </is>
      </c>
      <c r="Q129" s="25" t="inlineStr">
        <is>
          <t>NO</t>
        </is>
      </c>
      <c r="R129" s="25" t="inlineStr">
        <is>
          <t>N/A</t>
        </is>
      </c>
      <c r="S129" s="105">
        <f>+J129</f>
        <v/>
      </c>
      <c r="T129" s="105" t="n"/>
      <c r="U129" s="105">
        <f>+S129*21%</f>
        <v/>
      </c>
      <c r="V129" s="105">
        <f>+S129*3%</f>
        <v/>
      </c>
      <c r="W129" s="105">
        <f>+S129*2.5%</f>
        <v/>
      </c>
      <c r="X129" s="105">
        <f>IF(A129="00-175",S129*0.06,0)</f>
        <v/>
      </c>
      <c r="Y129" s="105" t="n"/>
      <c r="Z129" s="105" t="n"/>
      <c r="AA129" s="105">
        <f>+S129+T129+U129+W129+X129+V129+Y129</f>
        <v/>
      </c>
      <c r="AB129" s="109" t="n">
        <v>46079</v>
      </c>
      <c r="AC129" s="105" t="n">
        <v>12369966.48</v>
      </c>
      <c r="AD129" s="20" t="n"/>
      <c r="AE129" s="105" t="n"/>
      <c r="AF129" s="25" t="n"/>
      <c r="AG129" s="105" t="n"/>
      <c r="AH129" s="105" t="n"/>
      <c r="AI129" s="105">
        <f>+AC129+AE129+AG129+AH129</f>
        <v/>
      </c>
      <c r="AJ129" s="105">
        <f>+AA129-AI129</f>
        <v/>
      </c>
      <c r="AK129" s="21">
        <f>IF(Q129="ANULADA","N/A",IF(ABS(AJ129)&gt;10,"Pendiente",IF(MAX(AB129,AD129,AF129)=0,"Pendiente",MAX(0,MAX(AB129,AD129,AF129)-O129))))</f>
        <v/>
      </c>
    </row>
    <row r="130" hidden="1" ht="15" customHeight="1">
      <c r="A130" s="25" t="inlineStr">
        <is>
          <t>00-181</t>
        </is>
      </c>
      <c r="B130" s="25" t="inlineStr">
        <is>
          <t>FIDEICOMISO MARINAS DEL PLATA</t>
        </is>
      </c>
      <c r="C130" s="25" t="inlineStr">
        <is>
          <t>Bombeo Planta Potabilizadora Puerto Nizuc</t>
        </is>
      </c>
      <c r="D130" s="13" t="inlineStr">
        <is>
          <t>Fibra Optica</t>
        </is>
      </c>
      <c r="E130" s="13" t="n">
        <v>1</v>
      </c>
      <c r="F130" s="13" t="inlineStr">
        <is>
          <t>Basico Fibra Optica</t>
        </is>
      </c>
      <c r="G130" s="13" t="inlineStr">
        <is>
          <t>Básico</t>
        </is>
      </c>
      <c r="H130" s="23" t="n">
        <v>45992</v>
      </c>
      <c r="I130" s="104" t="n"/>
      <c r="J130" s="105" t="n">
        <v>41160565</v>
      </c>
      <c r="K130" s="105" t="n">
        <v>41160565</v>
      </c>
      <c r="L130" s="13" t="inlineStr">
        <is>
          <t>Validado</t>
        </is>
      </c>
      <c r="M130" s="25" t="inlineStr">
        <is>
          <t>FC A</t>
        </is>
      </c>
      <c r="N130" s="27" t="n">
        <v>2575</v>
      </c>
      <c r="O130" s="106" t="n">
        <v>46053</v>
      </c>
      <c r="P130" s="25" t="inlineStr">
        <is>
          <t>Certificado Básico Nº 1 - Dic'25 - Provisión Fibra Optica. - Bombeo Planta Potabilizadora Puerto Nizuc (00181)</t>
        </is>
      </c>
      <c r="Q130" s="25" t="inlineStr">
        <is>
          <t>NO</t>
        </is>
      </c>
      <c r="R130" s="25" t="inlineStr">
        <is>
          <t>N/A</t>
        </is>
      </c>
      <c r="S130" s="105">
        <f>+J130</f>
        <v/>
      </c>
      <c r="T130" s="105" t="n"/>
      <c r="U130" s="105">
        <f>+S130*21%</f>
        <v/>
      </c>
      <c r="V130" s="105">
        <f>+S130*3%</f>
        <v/>
      </c>
      <c r="W130" s="105">
        <f>+S130*2.5%</f>
        <v/>
      </c>
      <c r="X130" s="105">
        <f>IF(A130="00-175",S130*0.06,0)</f>
        <v/>
      </c>
      <c r="Y130" s="105" t="n"/>
      <c r="Z130" s="105" t="n"/>
      <c r="AA130" s="105">
        <f>+S130+T130+U130+W130+X130+V130+Y130</f>
        <v/>
      </c>
      <c r="AB130" s="109" t="n">
        <v>46079</v>
      </c>
      <c r="AC130" s="105" t="n">
        <v>52068114.73</v>
      </c>
      <c r="AD130" s="20" t="n"/>
      <c r="AE130" s="105" t="n"/>
      <c r="AF130" s="25" t="n"/>
      <c r="AG130" s="105" t="n"/>
      <c r="AH130" s="105" t="n"/>
      <c r="AI130" s="105">
        <f>+AC130+AE130+AG130+AH130</f>
        <v/>
      </c>
      <c r="AJ130" s="105">
        <f>+AA130-AI130</f>
        <v/>
      </c>
      <c r="AK130" s="21">
        <f>IF(Q130="ANULADA","N/A",IF(ABS(AJ130)&gt;10,"Pendiente",IF(MAX(AB130,AD130,AF130)=0,"Pendiente",MAX(0,MAX(AB130,AD130,AF130)-O130))))</f>
        <v/>
      </c>
    </row>
    <row r="131" hidden="1" ht="15" customHeight="1">
      <c r="A131" s="25" t="inlineStr">
        <is>
          <t>00-181</t>
        </is>
      </c>
      <c r="B131" s="25" t="inlineStr">
        <is>
          <t>FIDEICOMISO MARINAS DEL PLATA</t>
        </is>
      </c>
      <c r="C131" s="25" t="inlineStr">
        <is>
          <t>Bombeo Planta Potabilizadora Puerto Nizuc</t>
        </is>
      </c>
      <c r="D131" s="13" t="inlineStr">
        <is>
          <t>Fibra Optica</t>
        </is>
      </c>
      <c r="E131" s="13" t="n">
        <v>1</v>
      </c>
      <c r="F131" s="13" t="inlineStr">
        <is>
          <t>Redet Fibra Optica</t>
        </is>
      </c>
      <c r="G131" s="13" t="inlineStr">
        <is>
          <t>Redet.</t>
        </is>
      </c>
      <c r="H131" s="23" t="n">
        <v>45992</v>
      </c>
      <c r="I131" s="104" t="n"/>
      <c r="J131" s="105" t="n">
        <v>820140.02</v>
      </c>
      <c r="K131" s="105" t="n">
        <v>820140.02</v>
      </c>
      <c r="L131" s="13" t="inlineStr">
        <is>
          <t>Validado</t>
        </is>
      </c>
      <c r="M131" s="25" t="inlineStr">
        <is>
          <t>FC A</t>
        </is>
      </c>
      <c r="N131" s="27" t="n">
        <v>2576</v>
      </c>
      <c r="O131" s="106" t="n">
        <v>46053</v>
      </c>
      <c r="P131" s="25" t="inlineStr">
        <is>
          <t xml:space="preserve">Certificado de Redeterminación Provisoria Nº 1 - Dic'25 - Provisión Fibra Optica. - Bombeo Planta Potabilizadora Puerto </t>
        </is>
      </c>
      <c r="Q131" s="25" t="inlineStr">
        <is>
          <t>NO</t>
        </is>
      </c>
      <c r="R131" s="25" t="inlineStr">
        <is>
          <t>N/A</t>
        </is>
      </c>
      <c r="S131" s="105">
        <f>+J131</f>
        <v/>
      </c>
      <c r="T131" s="105" t="n"/>
      <c r="U131" s="105">
        <f>+S131*21%</f>
        <v/>
      </c>
      <c r="V131" s="105">
        <f>+S131*3%</f>
        <v/>
      </c>
      <c r="W131" s="105">
        <f>+S131*2.5%</f>
        <v/>
      </c>
      <c r="X131" s="105">
        <f>IF(A131="00-175",S131*0.06,0)</f>
        <v/>
      </c>
      <c r="Y131" s="105" t="n"/>
      <c r="Z131" s="105" t="n"/>
      <c r="AA131" s="105">
        <f>+S131+T131+U131+W131+X131+V131+Y131</f>
        <v/>
      </c>
      <c r="AB131" s="109" t="n">
        <v>46079</v>
      </c>
      <c r="AC131" s="105" t="n">
        <v>1037477.12</v>
      </c>
      <c r="AD131" s="20" t="n"/>
      <c r="AE131" s="105" t="n"/>
      <c r="AF131" s="25" t="n"/>
      <c r="AG131" s="105" t="n"/>
      <c r="AH131" s="105" t="n"/>
      <c r="AI131" s="105">
        <f>+AC131+AE131+AG131+AH131</f>
        <v/>
      </c>
      <c r="AJ131" s="105">
        <f>+AA131-AI131</f>
        <v/>
      </c>
      <c r="AK131" s="21">
        <f>IF(Q131="ANULADA","N/A",IF(ABS(AJ131)&gt;10,"Pendiente",IF(MAX(AB131,AD131,AF131)=0,"Pendiente",MAX(0,MAX(AB131,AD131,AF131)-O131))))</f>
        <v/>
      </c>
    </row>
    <row r="132" hidden="1" ht="15" customHeight="1">
      <c r="A132" s="25" t="inlineStr">
        <is>
          <t>00-181</t>
        </is>
      </c>
      <c r="B132" s="25" t="inlineStr">
        <is>
          <t>FIDEICOMISO MARINAS DEL PLATA</t>
        </is>
      </c>
      <c r="C132" s="25" t="inlineStr">
        <is>
          <t>Bombeo Planta Potabilizadora Puerto Nizuc</t>
        </is>
      </c>
      <c r="D132" s="13" t="inlineStr">
        <is>
          <t>Conexión y Cableado</t>
        </is>
      </c>
      <c r="E132" s="13" t="n">
        <v>1</v>
      </c>
      <c r="F132" s="13" t="inlineStr">
        <is>
          <t>Basico Conexión y Cableado</t>
        </is>
      </c>
      <c r="G132" s="13" t="inlineStr">
        <is>
          <t>Básico</t>
        </is>
      </c>
      <c r="H132" s="23" t="n">
        <v>45992</v>
      </c>
      <c r="I132" s="104" t="n">
        <v>19986646.91</v>
      </c>
      <c r="J132" s="105" t="n">
        <v>46635509.46</v>
      </c>
      <c r="K132" s="105" t="n">
        <v>46635509.46</v>
      </c>
      <c r="L132" s="13" t="inlineStr">
        <is>
          <t>Validado</t>
        </is>
      </c>
      <c r="M132" s="25" t="inlineStr">
        <is>
          <t>FC A</t>
        </is>
      </c>
      <c r="N132" s="27" t="n">
        <v>2577</v>
      </c>
      <c r="O132" s="106" t="n">
        <v>46053</v>
      </c>
      <c r="P132" s="25" t="inlineStr">
        <is>
          <t>Certificado Básico Nº 1 - Dic'25 - Provisión, Conexión y Cableado. - Bombeo Planta Potabilizadora Puerto Nizuc (00181)</t>
        </is>
      </c>
      <c r="Q132" s="25" t="inlineStr">
        <is>
          <t>NO</t>
        </is>
      </c>
      <c r="R132" s="25" t="inlineStr">
        <is>
          <t>N/A</t>
        </is>
      </c>
      <c r="S132" s="105">
        <f>+J132</f>
        <v/>
      </c>
      <c r="T132" s="105" t="n"/>
      <c r="U132" s="105">
        <f>+S132*21%</f>
        <v/>
      </c>
      <c r="V132" s="105">
        <f>+S132*3%</f>
        <v/>
      </c>
      <c r="W132" s="105">
        <f>+S132*2.5%</f>
        <v/>
      </c>
      <c r="X132" s="105">
        <f>IF(A132="00-175",S132*0.06,0)</f>
        <v/>
      </c>
      <c r="Y132" s="105" t="n"/>
      <c r="Z132" s="105" t="n"/>
      <c r="AA132" s="105">
        <f>+S132+T132+U132+W132+X132+V132+Y132</f>
        <v/>
      </c>
      <c r="AB132" s="109" t="n">
        <v>46079</v>
      </c>
      <c r="AC132" s="105" t="n">
        <v>58993919.47</v>
      </c>
      <c r="AD132" s="20" t="n"/>
      <c r="AE132" s="105" t="n"/>
      <c r="AF132" s="25" t="n"/>
      <c r="AG132" s="105" t="n"/>
      <c r="AH132" s="105" t="n"/>
      <c r="AI132" s="105">
        <f>+AC132+AE132+AG132+AH132</f>
        <v/>
      </c>
      <c r="AJ132" s="105">
        <f>+AA132-AI132</f>
        <v/>
      </c>
      <c r="AK132" s="21">
        <f>IF(Q132="ANULADA","N/A",IF(ABS(AJ132)&gt;10,"Pendiente",IF(MAX(AB132,AD132,AF132)=0,"Pendiente",MAX(0,MAX(AB132,AD132,AF132)-O132))))</f>
        <v/>
      </c>
    </row>
    <row r="133" hidden="1" ht="15" customHeight="1">
      <c r="A133" s="25" t="inlineStr">
        <is>
          <t>00-181</t>
        </is>
      </c>
      <c r="B133" s="25" t="inlineStr">
        <is>
          <t>FIDEICOMISO MARINAS DEL PLATA</t>
        </is>
      </c>
      <c r="C133" s="25" t="inlineStr">
        <is>
          <t>Bombeo Planta Potabilizadora Puerto Nizuc</t>
        </is>
      </c>
      <c r="D133" s="13" t="inlineStr">
        <is>
          <t>Conexión y Cableado</t>
        </is>
      </c>
      <c r="E133" s="13" t="n">
        <v>1</v>
      </c>
      <c r="F133" s="13" t="inlineStr">
        <is>
          <t>Redet Conexión y Cableado</t>
        </is>
      </c>
      <c r="G133" s="13" t="inlineStr">
        <is>
          <t>Redet.</t>
        </is>
      </c>
      <c r="H133" s="23" t="n">
        <v>45992</v>
      </c>
      <c r="I133" s="104" t="n"/>
      <c r="J133" s="105" t="n">
        <v>5222371.43</v>
      </c>
      <c r="K133" s="105" t="n">
        <v>5222371.43</v>
      </c>
      <c r="L133" s="13" t="inlineStr">
        <is>
          <t>Validado</t>
        </is>
      </c>
      <c r="M133" s="25" t="inlineStr">
        <is>
          <t>FC A</t>
        </is>
      </c>
      <c r="N133" s="27" t="n">
        <v>2578</v>
      </c>
      <c r="O133" s="106" t="n">
        <v>46053</v>
      </c>
      <c r="P133" s="25" t="inlineStr">
        <is>
          <t>Certificado de Redeterminación Provisoria Nº 1 - Dic'25 - Provisión, Conexión y Cableado. - Bombeo Planta Potabilizadora</t>
        </is>
      </c>
      <c r="Q133" s="25" t="inlineStr">
        <is>
          <t>NO</t>
        </is>
      </c>
      <c r="R133" s="25" t="inlineStr">
        <is>
          <t>N/A</t>
        </is>
      </c>
      <c r="S133" s="105">
        <f>+J133</f>
        <v/>
      </c>
      <c r="T133" s="105" t="n"/>
      <c r="U133" s="105">
        <f>+S133*21%</f>
        <v/>
      </c>
      <c r="V133" s="105">
        <f>+S133*3%</f>
        <v/>
      </c>
      <c r="W133" s="105">
        <f>+S133*2.5%</f>
        <v/>
      </c>
      <c r="X133" s="105">
        <f>IF(A133="00-175",S133*0.06,0)</f>
        <v/>
      </c>
      <c r="Y133" s="105" t="n"/>
      <c r="Z133" s="105" t="n"/>
      <c r="AA133" s="105">
        <f>+S133+T133+U133+W133+X133+V133+Y133</f>
        <v/>
      </c>
      <c r="AB133" s="109" t="n">
        <v>46079</v>
      </c>
      <c r="AC133" s="105" t="n">
        <v>6606299.86</v>
      </c>
      <c r="AD133" s="20" t="n"/>
      <c r="AE133" s="105" t="n"/>
      <c r="AF133" s="25" t="n"/>
      <c r="AG133" s="105" t="n"/>
      <c r="AH133" s="105" t="n"/>
      <c r="AI133" s="105">
        <f>+AC133+AE133+AG133+AH133</f>
        <v/>
      </c>
      <c r="AJ133" s="105">
        <f>+AA133-AI133</f>
        <v/>
      </c>
      <c r="AK133" s="21">
        <f>IF(Q133="ANULADA","N/A",IF(ABS(AJ133)&gt;10,"Pendiente",IF(MAX(AB133,AD133,AF133)=0,"Pendiente",MAX(0,MAX(AB133,AD133,AF133)-O133))))</f>
        <v/>
      </c>
    </row>
    <row r="134" hidden="1" ht="15" customHeight="1">
      <c r="A134" s="33" t="inlineStr">
        <is>
          <t>00-181</t>
        </is>
      </c>
      <c r="B134" s="25" t="inlineStr">
        <is>
          <t>FIDEICOMISO MARINAS DEL PLATA</t>
        </is>
      </c>
      <c r="C134" s="33" t="inlineStr">
        <is>
          <t>Bombeo Planta Potabilizadora Puerto Nizuc</t>
        </is>
      </c>
      <c r="D134" s="13" t="inlineStr">
        <is>
          <t>Provision Tableros electricos</t>
        </is>
      </c>
      <c r="E134" s="13" t="n">
        <v>1</v>
      </c>
      <c r="F134" s="13" t="inlineStr">
        <is>
          <t>Basico Provision de Tableros</t>
        </is>
      </c>
      <c r="G134" s="13" t="inlineStr">
        <is>
          <t>Básico</t>
        </is>
      </c>
      <c r="H134" s="23" t="n">
        <v>45992</v>
      </c>
      <c r="I134" s="104" t="n">
        <v>9519606.1</v>
      </c>
      <c r="J134" s="105" t="n">
        <v>14582450.94</v>
      </c>
      <c r="K134" s="105" t="n">
        <v>14582450.94</v>
      </c>
      <c r="L134" s="13" t="inlineStr">
        <is>
          <t>Validado</t>
        </is>
      </c>
      <c r="M134" s="33" t="inlineStr">
        <is>
          <t>FC A</t>
        </is>
      </c>
      <c r="N134" s="34" t="n">
        <v>2581</v>
      </c>
      <c r="O134" s="106" t="n">
        <v>46064</v>
      </c>
      <c r="P134" s="33" t="inlineStr">
        <is>
          <t>.Certificado Básico Nº 1 - Dic'25. - Bombeo Planta Potabilizadora Puerto Nizuc (00181)</t>
        </is>
      </c>
      <c r="Q134" s="33" t="inlineStr">
        <is>
          <t>NO</t>
        </is>
      </c>
      <c r="R134" s="33" t="inlineStr">
        <is>
          <t>N/A</t>
        </is>
      </c>
      <c r="S134" s="105">
        <f>+J134</f>
        <v/>
      </c>
      <c r="T134" s="105" t="n"/>
      <c r="U134" s="105">
        <f>+S134*21%</f>
        <v/>
      </c>
      <c r="V134" s="105">
        <f>+S134*3%</f>
        <v/>
      </c>
      <c r="W134" s="105">
        <f>+S134*2.5%</f>
        <v/>
      </c>
      <c r="X134" s="105">
        <f>IF(A134="00-175",S134*0.06,0)</f>
        <v/>
      </c>
      <c r="Y134" s="105" t="n"/>
      <c r="Z134" s="105" t="n"/>
      <c r="AA134" s="105">
        <f>+S134+T134+U134+W134+X134+V134+Y134</f>
        <v/>
      </c>
      <c r="AB134" s="112" t="n">
        <v>46079</v>
      </c>
      <c r="AC134" s="105" t="n">
        <v>11214642.81</v>
      </c>
      <c r="AD134" s="112" t="n">
        <v>46093</v>
      </c>
      <c r="AE134" s="105" t="n">
        <v>7232157.63</v>
      </c>
      <c r="AF134" s="33" t="n"/>
      <c r="AG134" s="105" t="n"/>
      <c r="AH134" s="105" t="n"/>
      <c r="AI134" s="105">
        <f>+AC134+AE134+AG134+AH134</f>
        <v/>
      </c>
      <c r="AJ134" s="105">
        <f>+AA134-AI134</f>
        <v/>
      </c>
      <c r="AK134" s="21">
        <f>IF(Q134="ANULADA","N/A",IF(ABS(AJ134)&gt;10,"Pendiente",IF(MAX(AB134,AD134,AF134)=0,"Pendiente",MAX(0,MAX(AB134,AD134,AF134)-O134))))</f>
        <v/>
      </c>
    </row>
    <row r="135" hidden="1" ht="15" customHeight="1">
      <c r="A135" s="22" t="inlineStr">
        <is>
          <t>00-181</t>
        </is>
      </c>
      <c r="B135" s="25" t="inlineStr">
        <is>
          <t>FIDEICOMISO MARINAS DEL PLATA</t>
        </is>
      </c>
      <c r="C135" s="22" t="inlineStr">
        <is>
          <t>Bombeo Planta Potabilizadora Puerto Nizuc</t>
        </is>
      </c>
      <c r="D135" s="13" t="inlineStr">
        <is>
          <t>Conexión y Cableado</t>
        </is>
      </c>
      <c r="E135" s="13" t="n">
        <v>2</v>
      </c>
      <c r="F135" s="13" t="inlineStr">
        <is>
          <t>Basico Conexión y Cableado</t>
        </is>
      </c>
      <c r="G135" s="13" t="inlineStr">
        <is>
          <t>Básico</t>
        </is>
      </c>
      <c r="H135" s="23" t="n">
        <v>46023</v>
      </c>
      <c r="I135" s="104" t="n">
        <v>15416657.01</v>
      </c>
      <c r="J135" s="105" t="n">
        <v>35972199.68</v>
      </c>
      <c r="K135" s="105" t="n">
        <v>35972199.68</v>
      </c>
      <c r="L135" s="13" t="inlineStr">
        <is>
          <t>Validado</t>
        </is>
      </c>
      <c r="M135" s="22" t="inlineStr">
        <is>
          <t>FC A</t>
        </is>
      </c>
      <c r="N135" s="24" t="n">
        <v>2584</v>
      </c>
      <c r="O135" s="106" t="n">
        <v>46076</v>
      </c>
      <c r="P135" s="22" t="inlineStr">
        <is>
          <t>Certificado Básico Nº 2 - Ene'26 - Provisión, Conexión y Cableado. - Bombeo Planta Potabilizadora Puerto Nizuc (00181)</t>
        </is>
      </c>
      <c r="Q135" s="22" t="inlineStr">
        <is>
          <t>NO</t>
        </is>
      </c>
      <c r="R135" s="22" t="inlineStr">
        <is>
          <t>N/A</t>
        </is>
      </c>
      <c r="S135" s="105">
        <f>+J135</f>
        <v/>
      </c>
      <c r="T135" s="105" t="n"/>
      <c r="U135" s="105">
        <f>+S135*21%</f>
        <v/>
      </c>
      <c r="V135" s="105">
        <f>+S135*3%</f>
        <v/>
      </c>
      <c r="W135" s="105">
        <f>+S135*2.5%</f>
        <v/>
      </c>
      <c r="X135" s="105">
        <f>IF(A135="00-175",S135*0.06,0)</f>
        <v/>
      </c>
      <c r="Y135" s="105" t="n"/>
      <c r="Z135" s="105" t="n"/>
      <c r="AA135" s="105">
        <f>+S135+T135+U135+W135+X135+V135+Y135</f>
        <v/>
      </c>
      <c r="AB135" s="112" t="n">
        <v>46093</v>
      </c>
      <c r="AC135" s="105" t="n">
        <v>45504832.59</v>
      </c>
      <c r="AD135" s="22" t="n"/>
      <c r="AE135" s="105" t="n"/>
      <c r="AF135" s="22" t="n"/>
      <c r="AG135" s="105" t="n"/>
      <c r="AH135" s="105" t="n"/>
      <c r="AI135" s="105">
        <f>+AC135+AE135+AG135+AH135</f>
        <v/>
      </c>
      <c r="AJ135" s="105">
        <f>+AA135-AI135</f>
        <v/>
      </c>
      <c r="AK135" s="21">
        <f>IF(Q135="ANULADA","N/A",IF(ABS(AJ135)&gt;10,"Pendiente",IF(MAX(AB135,AD135,AF135)=0,"Pendiente",MAX(0,MAX(AB135,AD135,AF135)-O135))))</f>
        <v/>
      </c>
    </row>
    <row r="136" hidden="1" ht="15" customHeight="1">
      <c r="A136" s="22" t="inlineStr">
        <is>
          <t>00-181</t>
        </is>
      </c>
      <c r="B136" s="25" t="inlineStr">
        <is>
          <t>FIDEICOMISO MARINAS DEL PLATA</t>
        </is>
      </c>
      <c r="C136" s="22" t="inlineStr">
        <is>
          <t>Bombeo Planta Potabilizadora Puerto Nizuc</t>
        </is>
      </c>
      <c r="D136" s="13" t="inlineStr">
        <is>
          <t>Conexión y Cableado</t>
        </is>
      </c>
      <c r="E136" s="13" t="n">
        <v>2</v>
      </c>
      <c r="F136" s="13" t="inlineStr">
        <is>
          <t>Redet conexión prov N2 Ene26 + Redet Def N1 Dic 25</t>
        </is>
      </c>
      <c r="G136" s="13" t="inlineStr">
        <is>
          <t>Redet.</t>
        </is>
      </c>
      <c r="H136" s="23" t="n">
        <v>46023</v>
      </c>
      <c r="I136" s="104" t="n"/>
      <c r="J136" s="105" t="n">
        <v>5687103.93</v>
      </c>
      <c r="K136" s="105" t="n">
        <v>5687103.93</v>
      </c>
      <c r="L136" s="13" t="inlineStr">
        <is>
          <t>Validado</t>
        </is>
      </c>
      <c r="M136" s="22" t="inlineStr">
        <is>
          <t>FC A</t>
        </is>
      </c>
      <c r="N136" s="24" t="n">
        <v>2585</v>
      </c>
      <c r="O136" s="106" t="n">
        <v>46076</v>
      </c>
      <c r="P136" s="22" t="inlineStr">
        <is>
          <t>Certificado de Redeterminación Provisoria Nº 2 - Ene'26 - Provisión, Conexión y Cableado.. - Bombeo Planta Potabilizador</t>
        </is>
      </c>
      <c r="Q136" s="22" t="inlineStr">
        <is>
          <t>NO</t>
        </is>
      </c>
      <c r="R136" s="22" t="inlineStr">
        <is>
          <t>N/A</t>
        </is>
      </c>
      <c r="S136" s="105">
        <f>+J136</f>
        <v/>
      </c>
      <c r="T136" s="105" t="n"/>
      <c r="U136" s="105">
        <f>+S136*21%</f>
        <v/>
      </c>
      <c r="V136" s="105">
        <f>+S136*3%</f>
        <v/>
      </c>
      <c r="W136" s="105">
        <f>+S136*2.5%</f>
        <v/>
      </c>
      <c r="X136" s="105">
        <f>IF(A136="00-175",S136*0.06,0)</f>
        <v/>
      </c>
      <c r="Y136" s="105" t="n"/>
      <c r="Z136" s="105" t="n"/>
      <c r="AA136" s="105">
        <f>+S136+T136+U136+W136+X136+V136+Y136</f>
        <v/>
      </c>
      <c r="AB136" s="112" t="n">
        <v>46093</v>
      </c>
      <c r="AC136" s="105" t="n">
        <v>7194186.48</v>
      </c>
      <c r="AD136" s="22" t="n"/>
      <c r="AE136" s="105" t="n"/>
      <c r="AF136" s="22" t="n"/>
      <c r="AG136" s="105" t="n"/>
      <c r="AH136" s="105" t="n"/>
      <c r="AI136" s="105">
        <f>+AC136+AE136+AG136+AH136</f>
        <v/>
      </c>
      <c r="AJ136" s="105">
        <f>+AA136-AI136</f>
        <v/>
      </c>
      <c r="AK136" s="21">
        <f>IF(Q136="ANULADA","N/A",IF(ABS(AJ136)&gt;10,"Pendiente",IF(MAX(AB136,AD136,AF136)=0,"Pendiente",MAX(0,MAX(AB136,AD136,AF136)-O136))))</f>
        <v/>
      </c>
    </row>
    <row r="137" hidden="1" ht="15" customHeight="1">
      <c r="A137" s="22" t="inlineStr">
        <is>
          <t>00-181</t>
        </is>
      </c>
      <c r="B137" s="25" t="inlineStr">
        <is>
          <t>FIDEICOMISO MARINAS DEL PLATA</t>
        </is>
      </c>
      <c r="C137" s="22" t="inlineStr">
        <is>
          <t>Bombeo Planta Potabilizadora Puerto Nizuc</t>
        </is>
      </c>
      <c r="D137" s="13" t="inlineStr">
        <is>
          <t>Provision Tableros electricos</t>
        </is>
      </c>
      <c r="E137" s="13" t="n">
        <v>2</v>
      </c>
      <c r="F137" s="13" t="inlineStr">
        <is>
          <t>Basico Provision de Tableros</t>
        </is>
      </c>
      <c r="G137" s="13" t="inlineStr">
        <is>
          <t>Básico</t>
        </is>
      </c>
      <c r="H137" s="23" t="n">
        <v>46023</v>
      </c>
      <c r="I137" s="104" t="n">
        <v>3310220.63</v>
      </c>
      <c r="J137" s="105" t="n">
        <v>5070706.66</v>
      </c>
      <c r="K137" s="105" t="n">
        <v>5070706.66</v>
      </c>
      <c r="L137" s="13" t="inlineStr">
        <is>
          <t>Validado</t>
        </is>
      </c>
      <c r="M137" s="22" t="inlineStr">
        <is>
          <t>FC A</t>
        </is>
      </c>
      <c r="N137" s="24" t="n">
        <v>2586</v>
      </c>
      <c r="O137" s="106" t="n">
        <v>46076</v>
      </c>
      <c r="P137" s="22" t="inlineStr">
        <is>
          <t>Certificado Básico Nº 2 - Ene'26. - Bombeo Planta Potabilizadora Puerto Nizuc (00181)</t>
        </is>
      </c>
      <c r="Q137" s="22" t="inlineStr">
        <is>
          <t>NO</t>
        </is>
      </c>
      <c r="R137" s="22" t="inlineStr">
        <is>
          <t>N/A</t>
        </is>
      </c>
      <c r="S137" s="105">
        <f>+J137</f>
        <v/>
      </c>
      <c r="T137" s="105" t="n"/>
      <c r="U137" s="105">
        <f>+S137*21%</f>
        <v/>
      </c>
      <c r="V137" s="105">
        <f>+S137*3%</f>
        <v/>
      </c>
      <c r="W137" s="105">
        <f>+S137*2.5%</f>
        <v/>
      </c>
      <c r="X137" s="105">
        <f>IF(A137="00-175",S137*0.06,0)</f>
        <v/>
      </c>
      <c r="Y137" s="105" t="n"/>
      <c r="Z137" s="105" t="n"/>
      <c r="AA137" s="105">
        <f>+S137+T137+U137+W137+X137+V137+Y137</f>
        <v/>
      </c>
      <c r="AB137" s="112" t="n">
        <v>46093</v>
      </c>
      <c r="AC137" s="105" t="n">
        <v>6170124.5</v>
      </c>
      <c r="AD137" s="106" t="n">
        <v>46121</v>
      </c>
      <c r="AE137" s="105" t="n">
        <v>244319.43</v>
      </c>
      <c r="AF137" s="22" t="n"/>
      <c r="AG137" s="105" t="n"/>
      <c r="AH137" s="105" t="n"/>
      <c r="AI137" s="105">
        <f>+AC137+AE137+AG137+AH137</f>
        <v/>
      </c>
      <c r="AJ137" s="105">
        <f>+AA137-AI137</f>
        <v/>
      </c>
      <c r="AK137" s="21">
        <f>IF(Q137="ANULADA","N/A",IF(ABS(AJ137)&gt;10,"Pendiente",IF(MAX(AB137,AD137,AF137)=0,"Pendiente",MAX(0,MAX(AB137,AD137,AF137)-O137))))</f>
        <v/>
      </c>
    </row>
    <row r="138" hidden="1" ht="15" customHeight="1">
      <c r="A138" s="22" t="inlineStr">
        <is>
          <t>00-181</t>
        </is>
      </c>
      <c r="B138" s="25" t="inlineStr">
        <is>
          <t>FIDEICOMISO MARINAS DEL PLATA</t>
        </is>
      </c>
      <c r="C138" s="22" t="inlineStr">
        <is>
          <t>Bombeo Planta Potabilizadora Puerto Nizuc</t>
        </is>
      </c>
      <c r="D138" s="13" t="inlineStr">
        <is>
          <t>Manifold y Tableros</t>
        </is>
      </c>
      <c r="E138" s="13" t="n">
        <v>4</v>
      </c>
      <c r="F138" s="13" t="inlineStr">
        <is>
          <t>Basico Manifold y tablero</t>
        </is>
      </c>
      <c r="G138" s="13" t="inlineStr">
        <is>
          <t>Básico</t>
        </is>
      </c>
      <c r="H138" s="23" t="n">
        <v>46023</v>
      </c>
      <c r="I138" s="104" t="n">
        <v>16215786.33</v>
      </c>
      <c r="J138" s="105" t="n">
        <v>42632449.03</v>
      </c>
      <c r="K138" s="105" t="n">
        <v>42632449.03</v>
      </c>
      <c r="L138" s="13" t="inlineStr">
        <is>
          <t>Validado</t>
        </is>
      </c>
      <c r="M138" s="22" t="inlineStr">
        <is>
          <t>FC A</t>
        </is>
      </c>
      <c r="N138" s="24" t="n">
        <v>2588</v>
      </c>
      <c r="O138" s="106" t="n">
        <v>46098</v>
      </c>
      <c r="P138" s="22" t="inlineStr">
        <is>
          <t>Certificado Básico Nº 4 - Ene'26.</t>
        </is>
      </c>
      <c r="Q138" s="22" t="inlineStr">
        <is>
          <t>NO</t>
        </is>
      </c>
      <c r="R138" s="22" t="inlineStr">
        <is>
          <t>N/A</t>
        </is>
      </c>
      <c r="S138" s="105">
        <f>+J138</f>
        <v/>
      </c>
      <c r="T138" s="105" t="n"/>
      <c r="U138" s="105" t="n">
        <v>8952814.300000001</v>
      </c>
      <c r="V138" s="105" t="n">
        <v>1278973.47</v>
      </c>
      <c r="W138" s="105" t="n">
        <v>1065811.23</v>
      </c>
      <c r="X138" s="105" t="n"/>
      <c r="Y138" s="105" t="n"/>
      <c r="Z138" s="105" t="n"/>
      <c r="AA138" s="105">
        <f>+S138+T138+U138+W138+X138+V138+Y138</f>
        <v/>
      </c>
      <c r="AB138" s="112" t="n">
        <v>46121</v>
      </c>
      <c r="AC138" s="105" t="n">
        <v>53930048.03</v>
      </c>
      <c r="AD138" s="22" t="n"/>
      <c r="AE138" s="105" t="n"/>
      <c r="AF138" s="22" t="n"/>
      <c r="AG138" s="105" t="n"/>
      <c r="AH138" s="105" t="n"/>
      <c r="AI138" s="105">
        <f>+AC138+AE138+AG138+AH138</f>
        <v/>
      </c>
      <c r="AJ138" s="105">
        <f>+AA138-AI138</f>
        <v/>
      </c>
      <c r="AK138" s="21">
        <f>IF(Q138="ANULADA","N/A",IF(ABS(AJ138)&gt;10,"Pendiente",IF(MAX(AB138,AD138,AF138)=0,"Pendiente",MAX(0,MAX(AB138,AD138,AF138)-O138))))</f>
        <v/>
      </c>
    </row>
    <row r="139" hidden="1" ht="15" customHeight="1">
      <c r="A139" s="22" t="inlineStr">
        <is>
          <t>00-181</t>
        </is>
      </c>
      <c r="B139" s="25" t="inlineStr">
        <is>
          <t>FIDEICOMISO MARINAS DEL PLATA</t>
        </is>
      </c>
      <c r="C139" s="22" t="inlineStr">
        <is>
          <t>Bombeo Planta Potabilizadora Puerto Nizuc</t>
        </is>
      </c>
      <c r="D139" s="13" t="inlineStr">
        <is>
          <t>Maniforld y Tableros</t>
        </is>
      </c>
      <c r="E139" s="13" t="n">
        <v>4</v>
      </c>
      <c r="F139" s="13" t="inlineStr">
        <is>
          <t>Redet Manifold y tablero</t>
        </is>
      </c>
      <c r="G139" s="13" t="inlineStr">
        <is>
          <t>Redet.</t>
        </is>
      </c>
      <c r="H139" s="23" t="n">
        <v>46023</v>
      </c>
      <c r="I139" s="104" t="n"/>
      <c r="J139" s="105" t="n">
        <v>6664100.79</v>
      </c>
      <c r="K139" s="105" t="n">
        <v>6664100.79</v>
      </c>
      <c r="L139" s="13" t="inlineStr">
        <is>
          <t>Validado</t>
        </is>
      </c>
      <c r="M139" s="22" t="inlineStr">
        <is>
          <t>FC A</t>
        </is>
      </c>
      <c r="N139" s="24" t="n">
        <v>2589</v>
      </c>
      <c r="O139" s="106" t="n">
        <v>46098</v>
      </c>
      <c r="P139" s="22" t="inlineStr">
        <is>
          <t>Certificado de Redeterminación Provisoria Nº 4 - Ene'26</t>
        </is>
      </c>
      <c r="Q139" s="22" t="inlineStr">
        <is>
          <t>NO</t>
        </is>
      </c>
      <c r="R139" s="22" t="inlineStr">
        <is>
          <t>N/A</t>
        </is>
      </c>
      <c r="S139" s="105">
        <f>+J139</f>
        <v/>
      </c>
      <c r="T139" s="105" t="n"/>
      <c r="U139" s="105" t="n">
        <v>1399461.17</v>
      </c>
      <c r="V139" s="105" t="n">
        <v>199923.02</v>
      </c>
      <c r="W139" s="105" t="n">
        <v>166602.52</v>
      </c>
      <c r="X139" s="105" t="n"/>
      <c r="Y139" s="105" t="n"/>
      <c r="Z139" s="105" t="n"/>
      <c r="AA139" s="105">
        <f>+S139+T139+U139+W139+X139+V139+Y139</f>
        <v/>
      </c>
      <c r="AB139" s="112" t="n">
        <v>46121</v>
      </c>
      <c r="AC139" s="105" t="n">
        <v>8430087.5</v>
      </c>
      <c r="AD139" s="22" t="n"/>
      <c r="AE139" s="105" t="n"/>
      <c r="AF139" s="22" t="n"/>
      <c r="AG139" s="105" t="n"/>
      <c r="AH139" s="105" t="n"/>
      <c r="AI139" s="105">
        <f>+AC139+AE139+AG139+AH139</f>
        <v/>
      </c>
      <c r="AJ139" s="105">
        <f>+AA139-AI139</f>
        <v/>
      </c>
      <c r="AK139" s="21">
        <f>IF(Q139="ANULADA","N/A",IF(ABS(AJ139)&gt;10,"Pendiente",IF(MAX(AB139,AD139,AF139)=0,"Pendiente",MAX(0,MAX(AB139,AD139,AF139)-O139))))</f>
        <v/>
      </c>
    </row>
    <row r="140" hidden="1" ht="15" customHeight="1">
      <c r="A140" s="22" t="inlineStr">
        <is>
          <t>00-181</t>
        </is>
      </c>
      <c r="B140" s="25" t="inlineStr">
        <is>
          <t>FIDEICOMISO MARINAS DEL PLATA</t>
        </is>
      </c>
      <c r="C140" s="22" t="inlineStr">
        <is>
          <t>Bombeo Planta Potabilizadora Puerto Nizuc</t>
        </is>
      </c>
      <c r="D140" s="13" t="inlineStr">
        <is>
          <t>Obras especiales</t>
        </is>
      </c>
      <c r="E140" s="13" t="n">
        <v>4</v>
      </c>
      <c r="F140" s="13" t="inlineStr">
        <is>
          <t>Certificado Básico Nº 4 - Ene'26. - Obras Especiales</t>
        </is>
      </c>
      <c r="G140" s="13" t="inlineStr">
        <is>
          <t>Básico</t>
        </is>
      </c>
      <c r="H140" s="23" t="n">
        <v>46023</v>
      </c>
      <c r="I140" s="104" t="n"/>
      <c r="J140" s="105" t="n">
        <v>10445517.48</v>
      </c>
      <c r="K140" s="105" t="n">
        <v>10445517.48</v>
      </c>
      <c r="L140" s="13" t="inlineStr">
        <is>
          <t>Validado</t>
        </is>
      </c>
      <c r="M140" s="22" t="inlineStr">
        <is>
          <t>FC A</t>
        </is>
      </c>
      <c r="N140" s="24" t="n">
        <v>2604</v>
      </c>
      <c r="O140" s="106" t="n">
        <v>46133</v>
      </c>
      <c r="P140" s="22" t="inlineStr">
        <is>
          <t>Certificado Básico Nº 4 - Ene'26.</t>
        </is>
      </c>
      <c r="Q140" s="22" t="inlineStr">
        <is>
          <t>NO</t>
        </is>
      </c>
      <c r="R140" s="22" t="inlineStr">
        <is>
          <t>N/A</t>
        </is>
      </c>
      <c r="S140" s="105">
        <f>+J140</f>
        <v/>
      </c>
      <c r="T140" s="105" t="n"/>
      <c r="U140" s="105">
        <f>+S140*21%</f>
        <v/>
      </c>
      <c r="V140" s="105">
        <f>+S140*3%</f>
        <v/>
      </c>
      <c r="W140" s="105">
        <f>+S140*2.5%</f>
        <v/>
      </c>
      <c r="X140" s="105" t="n"/>
      <c r="Y140" s="105" t="n"/>
      <c r="Z140" s="105" t="n"/>
      <c r="AA140" s="105">
        <f>+S140+T140+U140+W140+X140+V140+Y140</f>
        <v/>
      </c>
      <c r="AB140" s="107" t="n">
        <v>46141</v>
      </c>
      <c r="AC140" s="105" t="n">
        <v>13213579.6122</v>
      </c>
      <c r="AD140" s="22" t="n"/>
      <c r="AE140" s="105" t="n"/>
      <c r="AF140" s="22" t="n"/>
      <c r="AG140" s="105" t="n"/>
      <c r="AH140" s="105" t="n"/>
      <c r="AI140" s="105">
        <f>+AC140+AE140+AG140+AH140</f>
        <v/>
      </c>
      <c r="AJ140" s="105">
        <f>+AA140-AI140</f>
        <v/>
      </c>
      <c r="AK140" s="21">
        <f>IF(Q140="ANULADA","N/A",IF(ABS(AJ140)&gt;10,"Pendiente",IF(MAX(AB140,AD140,AF140)=0,"Pendiente",MAX(0,MAX(AB140,AD140,AF140)-O140))))</f>
        <v/>
      </c>
    </row>
    <row r="141" hidden="1" ht="15" customHeight="1">
      <c r="A141" s="22" t="inlineStr">
        <is>
          <t>00-181</t>
        </is>
      </c>
      <c r="B141" s="25" t="inlineStr">
        <is>
          <t>FIDEICOMISO MARINAS DEL PLATA</t>
        </is>
      </c>
      <c r="C141" s="22" t="inlineStr">
        <is>
          <t>Bombeo Planta Potabilizadora Puerto Nizuc</t>
        </is>
      </c>
      <c r="D141" s="13" t="inlineStr">
        <is>
          <t>Oficina Tecnica</t>
        </is>
      </c>
      <c r="E141" s="13" t="n">
        <v>9</v>
      </c>
      <c r="F141" s="13" t="inlineStr">
        <is>
          <t>Basico OFICINA TÉCNICA</t>
        </is>
      </c>
      <c r="G141" s="13" t="inlineStr">
        <is>
          <t>Básico</t>
        </is>
      </c>
      <c r="H141" s="23" t="n">
        <v>46054</v>
      </c>
      <c r="I141" s="104" t="n"/>
      <c r="J141" s="105" t="n">
        <v>16007002.54</v>
      </c>
      <c r="K141" s="105" t="n">
        <v>16007002.54</v>
      </c>
      <c r="L141" s="13" t="inlineStr">
        <is>
          <t>Validado</t>
        </is>
      </c>
      <c r="M141" s="22" t="inlineStr">
        <is>
          <t>FC A</t>
        </is>
      </c>
      <c r="N141" s="24" t="n">
        <v>2606</v>
      </c>
      <c r="O141" s="106" t="n">
        <v>46133</v>
      </c>
      <c r="P141" s="22" t="inlineStr">
        <is>
          <t>Certificado N° 9 – Feb’26</t>
        </is>
      </c>
      <c r="Q141" s="22" t="inlineStr">
        <is>
          <t>NO</t>
        </is>
      </c>
      <c r="R141" s="22" t="inlineStr">
        <is>
          <t>N/A</t>
        </is>
      </c>
      <c r="S141" s="105">
        <f>+J141</f>
        <v/>
      </c>
      <c r="T141" s="105" t="n"/>
      <c r="U141" s="105">
        <f>+S141*21%</f>
        <v/>
      </c>
      <c r="V141" s="105">
        <f>+S141*3%</f>
        <v/>
      </c>
      <c r="W141" s="105">
        <f>+S141*2.5%</f>
        <v/>
      </c>
      <c r="X141" s="105" t="n"/>
      <c r="Y141" s="105" t="n"/>
      <c r="Z141" s="105" t="n"/>
      <c r="AA141" s="105">
        <f>+S141+T141+U141+W141+X141+V141+Y141</f>
        <v/>
      </c>
      <c r="AB141" s="107" t="n">
        <v>46162</v>
      </c>
      <c r="AC141" s="105" t="n">
        <v>20248858.21</v>
      </c>
      <c r="AD141" s="22" t="n"/>
      <c r="AE141" s="105" t="n"/>
      <c r="AF141" s="22" t="n"/>
      <c r="AG141" s="105" t="n"/>
      <c r="AH141" s="105" t="n"/>
      <c r="AI141" s="105">
        <f>+AC141+AE141+AG141+AH141</f>
        <v/>
      </c>
      <c r="AJ141" s="105">
        <f>+AA141-AI141</f>
        <v/>
      </c>
      <c r="AK141" s="21">
        <f>IF(Q141="ANULADA","N/A",IF(ABS(AJ141)&gt;10,"Pendiente",IF(MAX(AB141,AD141,AF141)=0,"Pendiente",MAX(0,MAX(AB141,AD141,AF141)-O141))))</f>
        <v/>
      </c>
    </row>
    <row r="142" hidden="1" ht="15" customHeight="1">
      <c r="A142" s="22" t="inlineStr">
        <is>
          <t>00-181</t>
        </is>
      </c>
      <c r="B142" s="25" t="inlineStr">
        <is>
          <t>FIDEICOMISO MARINAS DEL PLATA</t>
        </is>
      </c>
      <c r="C142" s="22" t="inlineStr">
        <is>
          <t>Bombeo Planta Potabilizadora Puerto Nizuc</t>
        </is>
      </c>
      <c r="D142" s="13" t="inlineStr">
        <is>
          <t>Oficina Tecnica</t>
        </is>
      </c>
      <c r="E142" s="13" t="n">
        <v>10</v>
      </c>
      <c r="F142" s="13" t="inlineStr">
        <is>
          <t>Basico OFICINA TÉCNICA</t>
        </is>
      </c>
      <c r="G142" s="13" t="inlineStr">
        <is>
          <t>Básico</t>
        </is>
      </c>
      <c r="H142" s="23" t="n">
        <v>46082</v>
      </c>
      <c r="I142" s="104" t="n"/>
      <c r="J142" s="105" t="n">
        <v>16007002.54</v>
      </c>
      <c r="K142" s="105" t="n">
        <v>16007002.54</v>
      </c>
      <c r="L142" s="13" t="inlineStr">
        <is>
          <t>Validado</t>
        </is>
      </c>
      <c r="M142" s="22" t="inlineStr">
        <is>
          <t>FC A</t>
        </is>
      </c>
      <c r="N142" s="38" t="n">
        <v>2607</v>
      </c>
      <c r="O142" s="106" t="n">
        <v>46133</v>
      </c>
      <c r="P142" s="22" t="inlineStr">
        <is>
          <t>Certificado N° 10 – Mar’26</t>
        </is>
      </c>
      <c r="Q142" s="22" t="inlineStr">
        <is>
          <t>NO</t>
        </is>
      </c>
      <c r="R142" s="22" t="inlineStr">
        <is>
          <t>N/A</t>
        </is>
      </c>
      <c r="S142" s="105">
        <f>+J142</f>
        <v/>
      </c>
      <c r="T142" s="105" t="n"/>
      <c r="U142" s="105">
        <f>+S142*21%</f>
        <v/>
      </c>
      <c r="V142" s="105">
        <f>+S142*3%</f>
        <v/>
      </c>
      <c r="W142" s="105">
        <f>+S142*2.5%</f>
        <v/>
      </c>
      <c r="X142" s="105" t="n"/>
      <c r="Y142" s="105" t="n"/>
      <c r="Z142" s="105" t="n"/>
      <c r="AA142" s="105">
        <f>+S142+T142+U142+W142+X142+V142+Y142</f>
        <v/>
      </c>
      <c r="AB142" s="107" t="n">
        <v>46162</v>
      </c>
      <c r="AC142" s="105" t="n">
        <v>20248858.21</v>
      </c>
      <c r="AD142" s="22" t="n"/>
      <c r="AE142" s="105" t="n"/>
      <c r="AF142" s="22" t="n"/>
      <c r="AG142" s="105" t="n"/>
      <c r="AH142" s="105" t="n"/>
      <c r="AI142" s="105">
        <f>+AC142+AE142+AG142+AH142</f>
        <v/>
      </c>
      <c r="AJ142" s="105">
        <f>+AA142-AI142</f>
        <v/>
      </c>
      <c r="AK142" s="21">
        <f>IF(Q142="ANULADA","N/A",IF(ABS(AJ142)&gt;10,"Pendiente",IF(MAX(AB142,AD142,AF142)=0,"Pendiente",MAX(0,MAX(AB142,AD142,AF142)-O142))))</f>
        <v/>
      </c>
    </row>
    <row r="143" hidden="1" ht="15" customHeight="1">
      <c r="A143" s="22" t="inlineStr">
        <is>
          <t>00-181</t>
        </is>
      </c>
      <c r="B143" s="25" t="inlineStr">
        <is>
          <t>FIDEICOMISO MARINAS DEL PLATA</t>
        </is>
      </c>
      <c r="C143" s="22" t="inlineStr">
        <is>
          <t>Bombeo Planta Potabilizadora Puerto Nizuc</t>
        </is>
      </c>
      <c r="D143" s="13" t="inlineStr">
        <is>
          <t>Impermeabilización de Cisterna</t>
        </is>
      </c>
      <c r="E143" s="13" t="n">
        <v>1</v>
      </c>
      <c r="F143" s="13" t="inlineStr">
        <is>
          <t>Basico Impermeabilización de Cisterna</t>
        </is>
      </c>
      <c r="G143" s="13" t="inlineStr">
        <is>
          <t>Básico</t>
        </is>
      </c>
      <c r="H143" s="23" t="n">
        <v>46082</v>
      </c>
      <c r="I143" s="104" t="n"/>
      <c r="J143" s="105" t="n">
        <v>45292668.84</v>
      </c>
      <c r="K143" s="105" t="n">
        <v>45292668.84</v>
      </c>
      <c r="L143" s="13" t="inlineStr">
        <is>
          <t>Validado</t>
        </is>
      </c>
      <c r="M143" s="22" t="inlineStr">
        <is>
          <t>FC A</t>
        </is>
      </c>
      <c r="N143" s="38" t="n">
        <v>2608</v>
      </c>
      <c r="O143" s="106" t="n">
        <v>46135</v>
      </c>
      <c r="P143" s="22" t="inlineStr">
        <is>
          <t>Certificado Básico Nº 1 - Feb'26.</t>
        </is>
      </c>
      <c r="Q143" s="22" t="inlineStr">
        <is>
          <t>NO</t>
        </is>
      </c>
      <c r="R143" s="22" t="inlineStr">
        <is>
          <t>N/A</t>
        </is>
      </c>
      <c r="S143" s="105">
        <f>+J143</f>
        <v/>
      </c>
      <c r="T143" s="105" t="n"/>
      <c r="U143" s="105">
        <f>+S143*21%</f>
        <v/>
      </c>
      <c r="V143" s="105">
        <f>+S143*3%</f>
        <v/>
      </c>
      <c r="W143" s="105">
        <f>+S143*2.5%</f>
        <v/>
      </c>
      <c r="X143" s="105" t="n"/>
      <c r="Y143" s="105" t="n"/>
      <c r="Z143" s="105" t="n"/>
      <c r="AA143" s="105">
        <f>+S143+T143+U143+W143+X143+V143+Y143</f>
        <v/>
      </c>
      <c r="AB143" s="107" t="n">
        <v>46162</v>
      </c>
      <c r="AC143" s="105" t="n">
        <v>57295226.09</v>
      </c>
      <c r="AD143" s="22" t="n"/>
      <c r="AE143" s="105" t="n"/>
      <c r="AF143" s="22" t="n"/>
      <c r="AG143" s="105" t="n"/>
      <c r="AH143" s="105" t="n"/>
      <c r="AI143" s="105">
        <f>+AC143+AE143+AG143+AH143</f>
        <v/>
      </c>
      <c r="AJ143" s="105">
        <f>+AA143-AI143</f>
        <v/>
      </c>
      <c r="AK143" s="21">
        <f>IF(Q143="ANULADA","N/A",IF(ABS(AJ143)&gt;10,"Pendiente",IF(MAX(AB143,AD143,AF143)=0,"Pendiente",MAX(0,MAX(AB143,AD143,AF143)-O143))))</f>
        <v/>
      </c>
    </row>
    <row r="144" hidden="1" ht="15" customHeight="1">
      <c r="A144" s="22" t="inlineStr">
        <is>
          <t>00-181</t>
        </is>
      </c>
      <c r="B144" s="25" t="inlineStr">
        <is>
          <t>FIDEICOMISO MARINAS DEL PLATA</t>
        </is>
      </c>
      <c r="C144" s="22" t="inlineStr">
        <is>
          <t>Bombeo Planta Potabilizadora Puerto Nizuc</t>
        </is>
      </c>
      <c r="D144" s="13" t="inlineStr">
        <is>
          <t>Impermeabilizacion</t>
        </is>
      </c>
      <c r="E144" s="13" t="n">
        <v>1</v>
      </c>
      <c r="F144" s="13" t="inlineStr">
        <is>
          <t>Redet Impermeabilización de Cisterna</t>
        </is>
      </c>
      <c r="G144" s="13" t="inlineStr">
        <is>
          <t>Redet.</t>
        </is>
      </c>
      <c r="H144" s="23" t="n">
        <v>46082</v>
      </c>
      <c r="I144" s="104" t="n"/>
      <c r="J144" s="105" t="n">
        <v>574369.53</v>
      </c>
      <c r="K144" s="105" t="n">
        <v>574369.53</v>
      </c>
      <c r="L144" s="13" t="inlineStr">
        <is>
          <t>Validado</t>
        </is>
      </c>
      <c r="M144" s="22" t="inlineStr">
        <is>
          <t>FC A</t>
        </is>
      </c>
      <c r="N144" s="38" t="n">
        <v>2609</v>
      </c>
      <c r="O144" s="106" t="n">
        <v>46135</v>
      </c>
      <c r="P144" s="22" t="inlineStr">
        <is>
          <t>Certificado de Redeterminación Provisoria Nº 1 - Feb'26 .</t>
        </is>
      </c>
      <c r="Q144" s="22" t="inlineStr">
        <is>
          <t>NO</t>
        </is>
      </c>
      <c r="R144" s="22" t="inlineStr">
        <is>
          <t>N/A</t>
        </is>
      </c>
      <c r="S144" s="105">
        <f>+J144</f>
        <v/>
      </c>
      <c r="T144" s="105" t="n"/>
      <c r="U144" s="105">
        <f>+S144*21%</f>
        <v/>
      </c>
      <c r="V144" s="105">
        <f>+S144*3%</f>
        <v/>
      </c>
      <c r="W144" s="105">
        <f>+S144*2.5%</f>
        <v/>
      </c>
      <c r="X144" s="105" t="n"/>
      <c r="Y144" s="105" t="n"/>
      <c r="Z144" s="105" t="n"/>
      <c r="AA144" s="105">
        <f>+S144+T144+U144+W144+X144+V144+Y144</f>
        <v/>
      </c>
      <c r="AB144" s="107" t="n">
        <v>46162</v>
      </c>
      <c r="AC144" s="105" t="n">
        <v>726577.46</v>
      </c>
      <c r="AD144" s="22" t="n"/>
      <c r="AE144" s="105" t="n"/>
      <c r="AF144" s="22" t="n"/>
      <c r="AG144" s="105" t="n"/>
      <c r="AH144" s="105" t="n"/>
      <c r="AI144" s="105">
        <f>+AC144+AE144+AG144+AH144</f>
        <v/>
      </c>
      <c r="AJ144" s="105">
        <f>+AA144-AI144</f>
        <v/>
      </c>
      <c r="AK144" s="21">
        <f>IF(Q144="ANULADA","N/A",IF(ABS(AJ144)&gt;10,"Pendiente",IF(MAX(AB144,AD144,AF144)=0,"Pendiente",MAX(0,MAX(AB144,AD144,AF144)-O144))))</f>
        <v/>
      </c>
    </row>
    <row r="145" hidden="1" ht="15" customHeight="1">
      <c r="A145" s="22" t="inlineStr">
        <is>
          <t>00-181</t>
        </is>
      </c>
      <c r="B145" s="25" t="inlineStr">
        <is>
          <t>FIDEICOMISO MARINAS DEL PLATA</t>
        </is>
      </c>
      <c r="C145" s="22" t="inlineStr">
        <is>
          <t>Bombeo Planta Potabilizadora Puerto Nizuc</t>
        </is>
      </c>
      <c r="D145" s="13" t="inlineStr">
        <is>
          <t>Obras especiales</t>
        </is>
      </c>
      <c r="E145" s="13" t="n">
        <v>3</v>
      </c>
      <c r="F145" s="13" t="inlineStr">
        <is>
          <t>Obras especiales Acta Med 5</t>
        </is>
      </c>
      <c r="G145" s="13" t="inlineStr">
        <is>
          <t>Básico</t>
        </is>
      </c>
      <c r="H145" s="23" t="n">
        <v>46054</v>
      </c>
      <c r="I145" s="104" t="n"/>
      <c r="J145" s="105" t="n">
        <v>5139223.49</v>
      </c>
      <c r="K145" s="105" t="n">
        <v>5139223.49</v>
      </c>
      <c r="L145" s="13" t="inlineStr">
        <is>
          <t>Validado</t>
        </is>
      </c>
      <c r="M145" s="22" t="inlineStr">
        <is>
          <t>FC A</t>
        </is>
      </c>
      <c r="N145" s="38" t="n">
        <v>2610</v>
      </c>
      <c r="O145" s="106" t="n">
        <v>46135</v>
      </c>
      <c r="P145" s="22" t="inlineStr">
        <is>
          <t>Certificado Básico Nº 5 - Feb'26</t>
        </is>
      </c>
      <c r="Q145" s="22" t="inlineStr">
        <is>
          <t>NO</t>
        </is>
      </c>
      <c r="R145" s="22" t="inlineStr">
        <is>
          <t>N/A</t>
        </is>
      </c>
      <c r="S145" s="105">
        <f>+J145</f>
        <v/>
      </c>
      <c r="T145" s="105" t="n"/>
      <c r="U145" s="105">
        <f>+S145*21%</f>
        <v/>
      </c>
      <c r="V145" s="105">
        <f>+S145*3%</f>
        <v/>
      </c>
      <c r="W145" s="105">
        <f>+S145*2.5%</f>
        <v/>
      </c>
      <c r="X145" s="105" t="n"/>
      <c r="Y145" s="105" t="n"/>
      <c r="Z145" s="105" t="n"/>
      <c r="AA145" s="105">
        <f>+S145+T145+U145+W145+X145+V145+Y145</f>
        <v/>
      </c>
      <c r="AB145" s="107" t="n">
        <v>46162</v>
      </c>
      <c r="AC145" s="105" t="n">
        <v>6501117.71</v>
      </c>
      <c r="AD145" s="22" t="n"/>
      <c r="AE145" s="105" t="n"/>
      <c r="AF145" s="22" t="n"/>
      <c r="AG145" s="105" t="n"/>
      <c r="AH145" s="105" t="n"/>
      <c r="AI145" s="105">
        <f>+AC145+AE145+AG145+AH145</f>
        <v/>
      </c>
      <c r="AJ145" s="105">
        <f>+AA145-AI145</f>
        <v/>
      </c>
      <c r="AK145" s="21">
        <f>IF(Q145="ANULADA","N/A",IF(ABS(AJ145)&gt;10,"Pendiente",IF(MAX(AB145,AD145,AF145)=0,"Pendiente",MAX(0,MAX(AB145,AD145,AF145)-O145))))</f>
        <v/>
      </c>
    </row>
    <row r="146" hidden="1" ht="15" customHeight="1">
      <c r="A146" s="12" t="inlineStr">
        <is>
          <t>00-181</t>
        </is>
      </c>
      <c r="B146" s="25" t="inlineStr">
        <is>
          <t>FIDEICOMISO MARINAS DEL PLATA</t>
        </is>
      </c>
      <c r="C146" s="12" t="inlineStr">
        <is>
          <t>Bombeo Planta Potabilizadora Puerto Nizuc</t>
        </is>
      </c>
      <c r="D146" s="13" t="inlineStr">
        <is>
          <t>Obras especiales</t>
        </is>
      </c>
      <c r="E146" s="13" t="n">
        <v>1</v>
      </c>
      <c r="F146" s="13" t="inlineStr">
        <is>
          <t>Cambio de diámetro de tubería de 6" a 10" en zona de Agua Tratada</t>
        </is>
      </c>
      <c r="G146" s="13" t="inlineStr">
        <is>
          <t>Básico</t>
        </is>
      </c>
      <c r="H146" s="23" t="n">
        <v>46113</v>
      </c>
      <c r="I146" s="104" t="n"/>
      <c r="J146" s="105" t="n">
        <v>12570831.7</v>
      </c>
      <c r="K146" s="105" t="n">
        <v>12570831.7</v>
      </c>
      <c r="L146" s="13" t="inlineStr">
        <is>
          <t>Validado</t>
        </is>
      </c>
      <c r="M146" s="12" t="inlineStr">
        <is>
          <t>FC A</t>
        </is>
      </c>
      <c r="N146" s="38" t="n">
        <v>2613</v>
      </c>
      <c r="O146" s="106" t="n">
        <v>46150</v>
      </c>
      <c r="P146" s="12" t="inlineStr">
        <is>
          <t>Cambio de diámetro de tubería de 6" a 10" en zona de Agua Tratada - Abr'26 Corresponde a U$D 8.883,98.- - Tipo de Cambio 1.415,00 $/U$D del 30/04/26</t>
        </is>
      </c>
      <c r="Q146" s="18" t="inlineStr">
        <is>
          <t>NO</t>
        </is>
      </c>
      <c r="R146" s="18" t="inlineStr">
        <is>
          <t>N/A</t>
        </is>
      </c>
      <c r="S146" s="105">
        <f>+J146</f>
        <v/>
      </c>
      <c r="T146" s="105" t="n"/>
      <c r="U146" s="105">
        <f>+S146*21%</f>
        <v/>
      </c>
      <c r="V146" s="105">
        <f>+S146*3%</f>
        <v/>
      </c>
      <c r="W146" s="105">
        <f>+S146*2.5%</f>
        <v/>
      </c>
      <c r="X146" s="105" t="n"/>
      <c r="Y146" s="105" t="n"/>
      <c r="Z146" s="105" t="n"/>
      <c r="AA146" s="105">
        <f>+S146+T146+U146+W146+X146+V146+Y146</f>
        <v/>
      </c>
      <c r="AB146" s="107" t="n"/>
      <c r="AC146" s="105" t="n"/>
      <c r="AD146" s="20" t="n"/>
      <c r="AE146" s="105" t="n"/>
      <c r="AF146" s="12" t="n"/>
      <c r="AG146" s="105" t="n"/>
      <c r="AH146" s="105" t="n"/>
      <c r="AI146" s="105">
        <f>+AC146+AE146+AG146+AH146</f>
        <v/>
      </c>
      <c r="AJ146" s="105">
        <f>+AA146-AI146</f>
        <v/>
      </c>
      <c r="AK146" s="21">
        <f>IF(Q146="ANULADA","N/A",IF(ABS(AJ146)&gt;10,"Pendiente",IF(MAX(AB146,AD146,AF146)=0,"Pendiente",MAX(0,MAX(AB146,AD146,AF146)-O146))))</f>
        <v/>
      </c>
    </row>
    <row r="147" hidden="1" ht="15" customHeight="1">
      <c r="A147" s="22" t="inlineStr">
        <is>
          <t>00-181</t>
        </is>
      </c>
      <c r="B147" s="25" t="inlineStr">
        <is>
          <t>FIDEICOMISO MARINAS DEL PLATA</t>
        </is>
      </c>
      <c r="C147" s="22" t="inlineStr">
        <is>
          <t>Bombeo Planta Potabilizadora Puerto Nizuc</t>
        </is>
      </c>
      <c r="D147" s="13" t="inlineStr">
        <is>
          <t>Oficina Tecnica</t>
        </is>
      </c>
      <c r="E147" s="13" t="n">
        <v>11</v>
      </c>
      <c r="F147" s="13" t="inlineStr">
        <is>
          <t>Basico OFICINA TÉCNICA</t>
        </is>
      </c>
      <c r="G147" s="13" t="inlineStr">
        <is>
          <t>Básico</t>
        </is>
      </c>
      <c r="H147" s="23" t="n">
        <v>46113</v>
      </c>
      <c r="I147" s="104" t="n"/>
      <c r="J147" s="105" t="n">
        <v>17785558.38</v>
      </c>
      <c r="K147" s="105">
        <f>+J147</f>
        <v/>
      </c>
      <c r="L147" s="13" t="inlineStr">
        <is>
          <t>Validado</t>
        </is>
      </c>
      <c r="M147" s="25" t="inlineStr">
        <is>
          <t>FC A</t>
        </is>
      </c>
      <c r="N147" s="38" t="n">
        <v>2632</v>
      </c>
      <c r="O147" s="106" t="n">
        <v>46178</v>
      </c>
      <c r="P147" s="22" t="inlineStr">
        <is>
          <t>Certificado Nº 11 - Abr'26.</t>
        </is>
      </c>
      <c r="Q147" s="25" t="inlineStr">
        <is>
          <t>NO</t>
        </is>
      </c>
      <c r="R147" s="25" t="inlineStr">
        <is>
          <t>N/A</t>
        </is>
      </c>
      <c r="S147" s="105">
        <f>+K147</f>
        <v/>
      </c>
      <c r="T147" s="105" t="n"/>
      <c r="U147" s="105">
        <f>+S147*21%</f>
        <v/>
      </c>
      <c r="V147" s="105">
        <f>+S147*3%</f>
        <v/>
      </c>
      <c r="W147" s="105">
        <f>+S147*2.5%</f>
        <v/>
      </c>
      <c r="X147" s="105">
        <f>IF(A147="00-175",S147*0.06,0)</f>
        <v/>
      </c>
      <c r="Y147" s="105" t="n"/>
      <c r="Z147" s="105" t="n"/>
      <c r="AA147" s="105">
        <f>+S147+T147+U147+W147+X147+V147+Y147</f>
        <v/>
      </c>
      <c r="AB147" s="107" t="n"/>
      <c r="AC147" s="105" t="n"/>
      <c r="AD147" s="22" t="n"/>
      <c r="AE147" s="105" t="n"/>
      <c r="AF147" s="22" t="n"/>
      <c r="AG147" s="105" t="n"/>
      <c r="AH147" s="105" t="n"/>
      <c r="AI147" s="105">
        <f>+AC147+AE147+AG147+AH147</f>
        <v/>
      </c>
      <c r="AJ147" s="105">
        <f>+AA147-AI147</f>
        <v/>
      </c>
      <c r="AK147" s="21">
        <f>IF(Q147="ANULADA","N/A",IF(ABS(AJ147)&gt;10,"Pendiente",IF(MAX(AB147,AD147,AF147)=0,"Pendiente",MAX(0,MAX(AB147,AD147,AF147)-O147))))</f>
        <v/>
      </c>
    </row>
    <row r="148" hidden="1" ht="15" customHeight="1">
      <c r="A148" s="22" t="inlineStr">
        <is>
          <t>00-181</t>
        </is>
      </c>
      <c r="B148" s="25" t="inlineStr">
        <is>
          <t>FIDEICOMISO MARINAS DEL PLATA</t>
        </is>
      </c>
      <c r="C148" s="22" t="inlineStr">
        <is>
          <t>Bombeo Planta Potabilizadora Puerto Nizuc</t>
        </is>
      </c>
      <c r="D148" s="13" t="inlineStr">
        <is>
          <t>Manifold y tableros</t>
        </is>
      </c>
      <c r="E148" s="13" t="n">
        <v>5</v>
      </c>
      <c r="F148" s="13" t="inlineStr">
        <is>
          <t>Basico Manifold y tablero</t>
        </is>
      </c>
      <c r="G148" s="13" t="inlineStr">
        <is>
          <t>Básico</t>
        </is>
      </c>
      <c r="H148" s="23" t="n">
        <v>46054</v>
      </c>
      <c r="I148" s="104" t="n">
        <v>5617833.26</v>
      </c>
      <c r="J148" s="105" t="n">
        <v>14769680.94</v>
      </c>
      <c r="K148" s="105" t="n">
        <v>14769680.94</v>
      </c>
      <c r="L148" s="13" t="inlineStr">
        <is>
          <t>En Espera</t>
        </is>
      </c>
      <c r="M148" s="22" t="n"/>
      <c r="N148" s="24" t="n"/>
      <c r="O148" s="106" t="n"/>
      <c r="P148" s="22" t="n"/>
      <c r="Q148" s="22" t="n"/>
      <c r="R148" s="22" t="n"/>
      <c r="S148" s="105" t="n"/>
      <c r="T148" s="105" t="n"/>
      <c r="U148" s="105">
        <f>+S148*21%</f>
        <v/>
      </c>
      <c r="V148" s="105">
        <f>+S148*3%</f>
        <v/>
      </c>
      <c r="W148" s="105">
        <f>+S148*2.5%</f>
        <v/>
      </c>
      <c r="X148" s="105" t="n"/>
      <c r="Y148" s="105" t="n"/>
      <c r="Z148" s="105" t="n"/>
      <c r="AA148" s="105">
        <f>+S148+T148+U148+W148+X148+V148+Y148</f>
        <v/>
      </c>
      <c r="AB148" s="22" t="n"/>
      <c r="AC148" s="105" t="n"/>
      <c r="AD148" s="22" t="n"/>
      <c r="AE148" s="105" t="n"/>
      <c r="AF148" s="22" t="n"/>
      <c r="AG148" s="105" t="n"/>
      <c r="AH148" s="105" t="n"/>
      <c r="AI148" s="105">
        <f>+AC148+AE148+AG148+AH148</f>
        <v/>
      </c>
      <c r="AJ148" s="105">
        <f>+AA148-AI148</f>
        <v/>
      </c>
      <c r="AK148" s="21">
        <f>IF(Q148="ANULADA","N/A",IF(ABS(AJ148)&gt;10,"Pendiente",IF(MAX(AB148,AD148,AF148)=0,"Pendiente",MAX(0,MAX(AB148,AD148,AF148)-O148))))</f>
        <v/>
      </c>
    </row>
    <row r="149" hidden="1" ht="15" customHeight="1">
      <c r="A149" s="22" t="inlineStr">
        <is>
          <t>00-181</t>
        </is>
      </c>
      <c r="B149" s="25" t="inlineStr">
        <is>
          <t>FIDEICOMISO MARINAS DEL PLATA</t>
        </is>
      </c>
      <c r="C149" s="22" t="inlineStr">
        <is>
          <t>Bombeo Planta Potabilizadora Puerto Nizuc</t>
        </is>
      </c>
      <c r="D149" s="13" t="inlineStr">
        <is>
          <t>Manifold y tablero</t>
        </is>
      </c>
      <c r="E149" s="13" t="n">
        <v>5</v>
      </c>
      <c r="F149" s="13" t="inlineStr">
        <is>
          <t>Redet Manifold y tablero</t>
        </is>
      </c>
      <c r="G149" s="13" t="inlineStr">
        <is>
          <t>Redet.</t>
        </is>
      </c>
      <c r="H149" s="23" t="n">
        <v>46113</v>
      </c>
      <c r="I149" s="104" t="n"/>
      <c r="J149" s="105" t="n">
        <v>2397087.01</v>
      </c>
      <c r="K149" s="105" t="n">
        <v>2397087.01</v>
      </c>
      <c r="L149" s="13" t="inlineStr">
        <is>
          <t>En Espera</t>
        </is>
      </c>
      <c r="M149" s="22" t="n"/>
      <c r="N149" s="24" t="n"/>
      <c r="O149" s="106" t="n"/>
      <c r="P149" s="22" t="n"/>
      <c r="Q149" s="39" t="n"/>
      <c r="R149" s="22" t="n"/>
      <c r="S149" s="105" t="n"/>
      <c r="T149" s="105" t="n"/>
      <c r="U149" s="105">
        <f>+S149*21%</f>
        <v/>
      </c>
      <c r="V149" s="105">
        <f>+S149*3%</f>
        <v/>
      </c>
      <c r="W149" s="105">
        <f>+S149*2.5%</f>
        <v/>
      </c>
      <c r="X149" s="105" t="n"/>
      <c r="Y149" s="105" t="n"/>
      <c r="Z149" s="105" t="n"/>
      <c r="AA149" s="105">
        <f>+S149+T149+U149+W149+X149+V149+Y149</f>
        <v/>
      </c>
      <c r="AB149" s="22" t="n"/>
      <c r="AC149" s="105" t="n"/>
      <c r="AD149" s="22" t="n"/>
      <c r="AE149" s="105" t="n"/>
      <c r="AF149" s="22" t="n"/>
      <c r="AG149" s="105" t="n"/>
      <c r="AH149" s="105" t="n"/>
      <c r="AI149" s="105">
        <f>+AC149+AE149+AG149+AH149</f>
        <v/>
      </c>
      <c r="AJ149" s="105">
        <f>+AA149-AI149</f>
        <v/>
      </c>
      <c r="AK149" s="21">
        <f>IF(Q149="ANULADA","N/A",IF(ABS(AJ149)&gt;10,"Pendiente",IF(MAX(AB149,AD149,AF149)=0,"Pendiente",MAX(0,MAX(AB149,AD149,AF149)-O149))))</f>
        <v/>
      </c>
    </row>
    <row r="150" hidden="1" ht="15" customHeight="1">
      <c r="A150" s="22" t="inlineStr">
        <is>
          <t>00-181</t>
        </is>
      </c>
      <c r="B150" s="25" t="inlineStr">
        <is>
          <t>FIDEICOMISO MARINAS DEL PLATA</t>
        </is>
      </c>
      <c r="C150" s="22" t="inlineStr">
        <is>
          <t>Bombeo Planta Potabilizadora Puerto Nizuc</t>
        </is>
      </c>
      <c r="D150" s="13" t="inlineStr">
        <is>
          <t>Conexión y Cableado</t>
        </is>
      </c>
      <c r="E150" s="13" t="n">
        <v>3</v>
      </c>
      <c r="F150" s="13" t="inlineStr">
        <is>
          <t>Basico Conexión y Cableado</t>
        </is>
      </c>
      <c r="G150" s="13" t="inlineStr">
        <is>
          <t>Básico</t>
        </is>
      </c>
      <c r="H150" s="23" t="n">
        <v>46054</v>
      </c>
      <c r="I150" s="104" t="n">
        <v>6485232.48</v>
      </c>
      <c r="J150" s="105" t="n">
        <v>15132209.13</v>
      </c>
      <c r="K150" s="105" t="n">
        <v>15132209.13</v>
      </c>
      <c r="L150" s="13" t="inlineStr">
        <is>
          <t>En Espera</t>
        </is>
      </c>
      <c r="M150" s="22" t="n"/>
      <c r="N150" s="24" t="n"/>
      <c r="O150" s="106" t="n"/>
      <c r="P150" s="22" t="n"/>
      <c r="Q150" s="22" t="n"/>
      <c r="R150" s="22" t="n"/>
      <c r="S150" s="105" t="n"/>
      <c r="T150" s="105" t="n"/>
      <c r="U150" s="105">
        <f>+S150*21%</f>
        <v/>
      </c>
      <c r="V150" s="105">
        <f>+S150*3%</f>
        <v/>
      </c>
      <c r="W150" s="105">
        <f>+S150*2.5%</f>
        <v/>
      </c>
      <c r="X150" s="105" t="n"/>
      <c r="Y150" s="105" t="n"/>
      <c r="Z150" s="105" t="n"/>
      <c r="AA150" s="105">
        <f>+S150+T150+U150+W150+X150+V150+Y150</f>
        <v/>
      </c>
      <c r="AB150" s="22" t="n"/>
      <c r="AC150" s="105" t="n"/>
      <c r="AD150" s="22" t="n"/>
      <c r="AE150" s="105" t="n"/>
      <c r="AF150" s="22" t="n"/>
      <c r="AG150" s="105" t="n"/>
      <c r="AH150" s="105" t="n"/>
      <c r="AI150" s="105">
        <f>+AC150+AE150+AG150+AH150</f>
        <v/>
      </c>
      <c r="AJ150" s="105">
        <f>+AA150-AI150</f>
        <v/>
      </c>
      <c r="AK150" s="21">
        <f>IF(Q150="ANULADA","N/A",IF(ABS(AJ150)&gt;10,"Pendiente",IF(MAX(AB150,AD150,AF150)=0,"Pendiente",MAX(0,MAX(AB150,AD150,AF150)-O150))))</f>
        <v/>
      </c>
    </row>
    <row r="151" hidden="1" ht="15" customHeight="1">
      <c r="A151" s="22" t="inlineStr">
        <is>
          <t>00-181</t>
        </is>
      </c>
      <c r="B151" s="25" t="inlineStr">
        <is>
          <t>FIDEICOMISO MARINAS DEL PLATA</t>
        </is>
      </c>
      <c r="C151" s="22" t="inlineStr">
        <is>
          <t>Bombeo Planta Potabilizadora Puerto Nizuc</t>
        </is>
      </c>
      <c r="D151" s="13" t="inlineStr">
        <is>
          <t>Conexión y Cableado</t>
        </is>
      </c>
      <c r="E151" s="13" t="n">
        <v>3</v>
      </c>
      <c r="F151" s="13" t="inlineStr">
        <is>
          <t>Redet Conexión y Cableado</t>
        </is>
      </c>
      <c r="G151" s="13" t="inlineStr">
        <is>
          <t>Redet.</t>
        </is>
      </c>
      <c r="H151" s="23" t="n">
        <v>46113</v>
      </c>
      <c r="I151" s="104" t="n"/>
      <c r="J151" s="105" t="n">
        <v>3837207.03</v>
      </c>
      <c r="K151" s="105" t="n">
        <v>3837207.03</v>
      </c>
      <c r="L151" s="13" t="inlineStr">
        <is>
          <t>En Espera</t>
        </is>
      </c>
      <c r="M151" s="22" t="n"/>
      <c r="N151" s="24" t="n"/>
      <c r="O151" s="106" t="n"/>
      <c r="P151" s="22" t="n"/>
      <c r="Q151" s="39" t="n"/>
      <c r="R151" s="22" t="n"/>
      <c r="S151" s="105" t="n"/>
      <c r="T151" s="105" t="n"/>
      <c r="U151" s="105">
        <f>+S151*21%</f>
        <v/>
      </c>
      <c r="V151" s="105">
        <f>+S151*3%</f>
        <v/>
      </c>
      <c r="W151" s="105">
        <f>+S151*2.5%</f>
        <v/>
      </c>
      <c r="X151" s="105" t="n"/>
      <c r="Y151" s="105" t="n"/>
      <c r="Z151" s="105" t="n"/>
      <c r="AA151" s="105">
        <f>+S151+T151+U151+W151+X151+V151+Y151</f>
        <v/>
      </c>
      <c r="AB151" s="22" t="n"/>
      <c r="AC151" s="105" t="n"/>
      <c r="AD151" s="22" t="n"/>
      <c r="AE151" s="105" t="n"/>
      <c r="AF151" s="22" t="n"/>
      <c r="AG151" s="105" t="n"/>
      <c r="AH151" s="105" t="n"/>
      <c r="AI151" s="105">
        <f>+AC151+AE151+AG151+AH151</f>
        <v/>
      </c>
      <c r="AJ151" s="105">
        <f>+AA151-AI151</f>
        <v/>
      </c>
      <c r="AK151" s="21">
        <f>IF(Q151="ANULADA","N/A",IF(ABS(AJ151)&gt;10,"Pendiente",IF(MAX(AB151,AD151,AF151)=0,"Pendiente",MAX(0,MAX(AB151,AD151,AF151)-O151))))</f>
        <v/>
      </c>
    </row>
    <row r="152" hidden="1" ht="15" customHeight="1">
      <c r="A152" s="22" t="inlineStr">
        <is>
          <t>00-181</t>
        </is>
      </c>
      <c r="B152" s="25" t="inlineStr">
        <is>
          <t>FIDEICOMISO MARINAS DEL PLATA</t>
        </is>
      </c>
      <c r="C152" s="22" t="inlineStr">
        <is>
          <t>Bombeo Planta Potabilizadora Puerto Nizuc</t>
        </is>
      </c>
      <c r="D152" s="13" t="inlineStr">
        <is>
          <t>Provision Tableros electricos</t>
        </is>
      </c>
      <c r="E152" s="13" t="n">
        <v>3</v>
      </c>
      <c r="F152" s="13" t="inlineStr">
        <is>
          <t>Basico Provision de Tableros</t>
        </is>
      </c>
      <c r="G152" s="13" t="inlineStr">
        <is>
          <t>Básico</t>
        </is>
      </c>
      <c r="H152" s="23" t="n">
        <v>46054</v>
      </c>
      <c r="I152" s="104" t="n">
        <v>2072393.14</v>
      </c>
      <c r="J152" s="105" t="n">
        <v>3174561.11</v>
      </c>
      <c r="K152" s="105" t="n">
        <v>3174561.11</v>
      </c>
      <c r="L152" s="13" t="inlineStr">
        <is>
          <t>En Espera</t>
        </is>
      </c>
      <c r="M152" s="22" t="n"/>
      <c r="N152" s="24" t="n"/>
      <c r="O152" s="106" t="n"/>
      <c r="P152" s="22" t="n"/>
      <c r="Q152" s="39" t="n"/>
      <c r="R152" s="22" t="n"/>
      <c r="S152" s="105" t="n"/>
      <c r="T152" s="105" t="n"/>
      <c r="U152" s="105">
        <f>+S152*21%</f>
        <v/>
      </c>
      <c r="V152" s="105">
        <f>+S152*3%</f>
        <v/>
      </c>
      <c r="W152" s="105">
        <f>+S152*2.5%</f>
        <v/>
      </c>
      <c r="X152" s="105" t="n"/>
      <c r="Y152" s="105" t="n"/>
      <c r="Z152" s="105" t="n"/>
      <c r="AA152" s="105">
        <f>+S152+T152+U152+W152+X152+V152+Y152</f>
        <v/>
      </c>
      <c r="AB152" s="22" t="n"/>
      <c r="AC152" s="105" t="n"/>
      <c r="AD152" s="22" t="n"/>
      <c r="AE152" s="105" t="n"/>
      <c r="AF152" s="22" t="n"/>
      <c r="AG152" s="105" t="n"/>
      <c r="AH152" s="105" t="n"/>
      <c r="AI152" s="105">
        <f>+AC152+AE152+AG152+AH152</f>
        <v/>
      </c>
      <c r="AJ152" s="105">
        <f>+AA152-AI152</f>
        <v/>
      </c>
      <c r="AK152" s="21">
        <f>IF(Q152="ANULADA","N/A",IF(ABS(AJ152)&gt;10,"Pendiente",IF(MAX(AB152,AD152,AF152)=0,"Pendiente",MAX(0,MAX(AB152,AD152,AF152)-O152))))</f>
        <v/>
      </c>
    </row>
    <row r="153" ht="15" customHeight="1">
      <c r="A153" s="22" t="inlineStr">
        <is>
          <t>00-530</t>
        </is>
      </c>
      <c r="B153" s="22" t="inlineStr">
        <is>
          <t>INFRAESTRUCTURA ECONOMICA Y SOCIAL</t>
        </is>
      </c>
      <c r="C153" s="22" t="inlineStr">
        <is>
          <t>Redes y Colectores Cloacales Alderetes - Tucumán</t>
        </is>
      </c>
      <c r="D153" s="13" t="n">
        <v>0</v>
      </c>
      <c r="E153" s="13" t="n">
        <v>25</v>
      </c>
      <c r="F153" s="13" t="inlineStr">
        <is>
          <t>Basico</t>
        </is>
      </c>
      <c r="G153" s="13" t="inlineStr">
        <is>
          <t>Básico</t>
        </is>
      </c>
      <c r="H153" s="23" t="n">
        <v>45078</v>
      </c>
      <c r="I153" s="104" t="n">
        <v>220787.66</v>
      </c>
      <c r="J153" s="105" t="n">
        <v>1987088.92</v>
      </c>
      <c r="K153" s="105" t="n">
        <v>1987088.92</v>
      </c>
      <c r="L153" s="13" t="inlineStr">
        <is>
          <t>Validado</t>
        </is>
      </c>
      <c r="M153" s="22" t="inlineStr">
        <is>
          <t>FC B</t>
        </is>
      </c>
      <c r="N153" s="41" t="n">
        <v>1997</v>
      </c>
      <c r="O153" s="116" t="n">
        <v>46035</v>
      </c>
      <c r="P153" s="43" t="inlineStr">
        <is>
          <t>Certificado Nº 25 - Jun'25 - Redes y Colectores Cloacales Alderetes - Tucumán (00530)</t>
        </is>
      </c>
      <c r="Q153" s="22" t="inlineStr">
        <is>
          <t>NO</t>
        </is>
      </c>
      <c r="R153" s="22" t="inlineStr">
        <is>
          <t>N/A</t>
        </is>
      </c>
      <c r="S153" s="105">
        <f>+J153</f>
        <v/>
      </c>
      <c r="T153" s="105" t="n"/>
      <c r="U153" s="105" t="n">
        <v>0</v>
      </c>
      <c r="V153" s="105">
        <f>IF(N153="FC B",T153,IF(C153="00-175",T153/(1+0.21),T153/(1+0.21+0.03)))</f>
        <v/>
      </c>
      <c r="W153" s="105">
        <f>IF(A153="00-175",U153*0.003,U153*0.025)</f>
        <v/>
      </c>
      <c r="X153" s="105">
        <f>IF(A153="00-175",U153*0.06,0)</f>
        <v/>
      </c>
      <c r="Y153" s="105">
        <f>IF(Q153="FC B",W153,IF(O153="00-175",W153/(1+0.21),W153/(1+0.21+0.03)))</f>
        <v/>
      </c>
      <c r="Z153" s="105" t="n"/>
      <c r="AA153" s="105">
        <f>+S153+T153+U153+W153+X153</f>
        <v/>
      </c>
      <c r="AB153" s="39" t="n"/>
      <c r="AC153" s="105" t="n"/>
      <c r="AD153" s="39" t="n"/>
      <c r="AE153" s="105" t="n"/>
      <c r="AF153" s="39" t="n"/>
      <c r="AG153" s="105" t="n"/>
      <c r="AH153" s="105" t="n"/>
      <c r="AI153" s="105">
        <f>+AC153+AE153+AG153+AH153</f>
        <v/>
      </c>
      <c r="AJ153" s="105">
        <f>+AA153-AI153</f>
        <v/>
      </c>
      <c r="AK153" s="21">
        <f>IF(Q153="ANULADA","N/A",IF(ABS(AJ153)&gt;10,"Pendiente",IF(MAX(AB153,AD153,AF153)=0,"Pendiente",MAX(0,MAX(AB153,AD153,AF153)-O153))))</f>
        <v/>
      </c>
    </row>
    <row r="154" ht="15" customHeight="1">
      <c r="A154" s="22" t="inlineStr">
        <is>
          <t>00-530</t>
        </is>
      </c>
      <c r="B154" s="22" t="inlineStr">
        <is>
          <t>INFRAESTRUCTURA ECONOMICA Y SOCIAL</t>
        </is>
      </c>
      <c r="C154" s="22" t="inlineStr">
        <is>
          <t>Redes y Colectores Cloacales Alderetes - Tucumán</t>
        </is>
      </c>
      <c r="D154" s="13" t="n">
        <v>0</v>
      </c>
      <c r="E154" s="13" t="n">
        <v>25</v>
      </c>
      <c r="F154" s="13" t="inlineStr">
        <is>
          <t>Red Def</t>
        </is>
      </c>
      <c r="G154" s="13" t="inlineStr">
        <is>
          <t>Redet.</t>
        </is>
      </c>
      <c r="H154" s="23" t="n">
        <v>45078</v>
      </c>
      <c r="I154" s="104" t="n"/>
      <c r="J154" s="105" t="n">
        <v>50402510.51</v>
      </c>
      <c r="K154" s="105" t="n">
        <v>50402510.51</v>
      </c>
      <c r="L154" s="13" t="inlineStr">
        <is>
          <t>Validado</t>
        </is>
      </c>
      <c r="M154" s="22" t="inlineStr">
        <is>
          <t>FC B</t>
        </is>
      </c>
      <c r="N154" s="24" t="n">
        <v>1998</v>
      </c>
      <c r="O154" s="106" t="n">
        <v>46035</v>
      </c>
      <c r="P154" s="22" t="inlineStr">
        <is>
          <t>Certificado de Redeterminación Definitiva Nº 25 - Jun'25 - Redes y Colectores Cloacales Alderetes - Tucumán (00530)</t>
        </is>
      </c>
      <c r="Q154" s="22" t="inlineStr">
        <is>
          <t>NO</t>
        </is>
      </c>
      <c r="R154" s="22" t="inlineStr">
        <is>
          <t>N/A</t>
        </is>
      </c>
      <c r="S154" s="105">
        <f>+J154</f>
        <v/>
      </c>
      <c r="T154" s="105" t="n"/>
      <c r="U154" s="105" t="n">
        <v>0</v>
      </c>
      <c r="V154" s="105" t="n">
        <v>0</v>
      </c>
      <c r="W154" s="105" t="n">
        <v>0</v>
      </c>
      <c r="X154" s="105" t="n">
        <v>0</v>
      </c>
      <c r="Y154" s="105" t="n">
        <v>0</v>
      </c>
      <c r="Z154" s="105" t="n"/>
      <c r="AA154" s="105">
        <f>+S154+T154+U154+W154+X154</f>
        <v/>
      </c>
      <c r="AB154" s="22" t="n"/>
      <c r="AC154" s="105" t="n"/>
      <c r="AD154" s="22" t="n"/>
      <c r="AE154" s="105" t="n"/>
      <c r="AF154" s="22" t="n"/>
      <c r="AG154" s="105" t="n"/>
      <c r="AH154" s="105" t="n"/>
      <c r="AI154" s="105">
        <f>+AC154+AE154+AG154+AH154</f>
        <v/>
      </c>
      <c r="AJ154" s="105">
        <f>+AA154-AI154</f>
        <v/>
      </c>
      <c r="AK154" s="21">
        <f>IF(Q154="ANULADA","N/A",IF(ABS(AJ154)&gt;10,"Pendiente",IF(MAX(AB154,AD154,AF154)=0,"Pendiente",MAX(0,MAX(AB154,AD154,AF154)-O154))))</f>
        <v/>
      </c>
    </row>
    <row r="155" ht="15" customHeight="1">
      <c r="A155" s="22" t="inlineStr">
        <is>
          <t>00-530</t>
        </is>
      </c>
      <c r="B155" s="22" t="inlineStr">
        <is>
          <t>INFRAESTRUCTURA ECONOMICA Y SOCIAL</t>
        </is>
      </c>
      <c r="C155" s="22" t="inlineStr">
        <is>
          <t>Redes y Colectores Cloacales Alderetes - Tucumán</t>
        </is>
      </c>
      <c r="D155" s="13" t="n">
        <v>0</v>
      </c>
      <c r="E155" s="13" t="n">
        <v>26</v>
      </c>
      <c r="F155" s="13" t="inlineStr">
        <is>
          <t>Basico</t>
        </is>
      </c>
      <c r="G155" s="13" t="inlineStr">
        <is>
          <t>Básico</t>
        </is>
      </c>
      <c r="H155" s="23" t="n">
        <v>45108</v>
      </c>
      <c r="I155" s="104" t="n">
        <v>75252.44</v>
      </c>
      <c r="J155" s="105" t="n">
        <v>677271.96</v>
      </c>
      <c r="K155" s="105" t="n">
        <v>677271.96</v>
      </c>
      <c r="L155" s="13" t="inlineStr">
        <is>
          <t>Validado</t>
        </is>
      </c>
      <c r="M155" s="22" t="inlineStr">
        <is>
          <t>FC B</t>
        </is>
      </c>
      <c r="N155" s="24" t="n">
        <v>1999</v>
      </c>
      <c r="O155" s="106" t="n">
        <v>46035</v>
      </c>
      <c r="P155" s="22" t="inlineStr">
        <is>
          <t>Certificado Nº 26 - Jul'25 - Redes y Colectores Cloacales Alderetes - Tucumán (00530)</t>
        </is>
      </c>
      <c r="Q155" s="22" t="inlineStr">
        <is>
          <t>NO</t>
        </is>
      </c>
      <c r="R155" s="22" t="inlineStr">
        <is>
          <t>N/A</t>
        </is>
      </c>
      <c r="S155" s="105">
        <f>+J155</f>
        <v/>
      </c>
      <c r="T155" s="105" t="n"/>
      <c r="U155" s="105" t="n">
        <v>0</v>
      </c>
      <c r="V155" s="105" t="n">
        <v>0</v>
      </c>
      <c r="W155" s="105">
        <f>IF(A155="00-175",U155*0.003,U155*0.025)</f>
        <v/>
      </c>
      <c r="X155" s="105">
        <f>IF(A155="00-175",U155*0.06,0)</f>
        <v/>
      </c>
      <c r="Y155" s="105" t="n">
        <v>0</v>
      </c>
      <c r="Z155" s="105" t="n"/>
      <c r="AA155" s="105">
        <f>+S155+T155+U155+W155+X155</f>
        <v/>
      </c>
      <c r="AB155" s="22" t="n"/>
      <c r="AC155" s="105" t="n"/>
      <c r="AD155" s="22" t="n"/>
      <c r="AE155" s="105" t="n"/>
      <c r="AF155" s="22" t="n"/>
      <c r="AG155" s="105" t="n"/>
      <c r="AH155" s="105" t="n"/>
      <c r="AI155" s="105">
        <f>+AC155+AE155+AG155+AH155</f>
        <v/>
      </c>
      <c r="AJ155" s="105">
        <f>+AA155-AI155</f>
        <v/>
      </c>
      <c r="AK155" s="21">
        <f>IF(Q155="ANULADA","N/A",IF(ABS(AJ155)&gt;10,"Pendiente",IF(MAX(AB155,AD155,AF155)=0,"Pendiente",MAX(0,MAX(AB155,AD155,AF155)-O155))))</f>
        <v/>
      </c>
    </row>
    <row r="156" ht="15" customHeight="1">
      <c r="A156" s="22" t="inlineStr">
        <is>
          <t>00-530</t>
        </is>
      </c>
      <c r="B156" s="22" t="inlineStr">
        <is>
          <t>INFRAESTRUCTURA ECONOMICA Y SOCIAL</t>
        </is>
      </c>
      <c r="C156" s="22" t="inlineStr">
        <is>
          <t>Redes y Colectores Cloacales Alderetes - Tucumán</t>
        </is>
      </c>
      <c r="D156" s="13" t="n">
        <v>0</v>
      </c>
      <c r="E156" s="13" t="n">
        <v>26</v>
      </c>
      <c r="F156" s="13" t="inlineStr">
        <is>
          <t>Red Def</t>
        </is>
      </c>
      <c r="G156" s="13" t="inlineStr">
        <is>
          <t>Redet.</t>
        </is>
      </c>
      <c r="H156" s="23" t="n">
        <v>45108</v>
      </c>
      <c r="I156" s="104" t="n"/>
      <c r="J156" s="105" t="n">
        <v>17699825.4</v>
      </c>
      <c r="K156" s="105" t="n">
        <v>17699825.4</v>
      </c>
      <c r="L156" s="13" t="inlineStr">
        <is>
          <t>Validado</t>
        </is>
      </c>
      <c r="M156" s="22" t="inlineStr">
        <is>
          <t>FC B</t>
        </is>
      </c>
      <c r="N156" s="24" t="n">
        <v>2000</v>
      </c>
      <c r="O156" s="106" t="n">
        <v>46035</v>
      </c>
      <c r="P156" s="22" t="inlineStr">
        <is>
          <t>Certificado de Redeterminación Definitiva Nº 26 - Jul'25 - Redes y Colectores Cloacales Alderetes - Tucumán (00530)</t>
        </is>
      </c>
      <c r="Q156" s="22" t="inlineStr">
        <is>
          <t>NO</t>
        </is>
      </c>
      <c r="R156" s="22" t="inlineStr">
        <is>
          <t>N/A</t>
        </is>
      </c>
      <c r="S156" s="105">
        <f>+J156</f>
        <v/>
      </c>
      <c r="T156" s="105" t="n"/>
      <c r="U156" s="105" t="n">
        <v>0</v>
      </c>
      <c r="V156" s="105" t="n">
        <v>0</v>
      </c>
      <c r="W156" s="105">
        <f>IF(A156="00-175",U156*0.003,U156*0.025)</f>
        <v/>
      </c>
      <c r="X156" s="105">
        <f>IF(A156="00-175",U156*0.06,0)</f>
        <v/>
      </c>
      <c r="Y156" s="105" t="n">
        <v>0</v>
      </c>
      <c r="Z156" s="105" t="n"/>
      <c r="AA156" s="105">
        <f>+S156+T156+U156+W156+X156</f>
        <v/>
      </c>
      <c r="AB156" s="22" t="n"/>
      <c r="AC156" s="105" t="n"/>
      <c r="AD156" s="22" t="n"/>
      <c r="AE156" s="105" t="n"/>
      <c r="AF156" s="22" t="n"/>
      <c r="AG156" s="105" t="n"/>
      <c r="AH156" s="105" t="n"/>
      <c r="AI156" s="105">
        <f>+AC156+AE156+AG156+AH156</f>
        <v/>
      </c>
      <c r="AJ156" s="105">
        <f>+AA156-AI156</f>
        <v/>
      </c>
      <c r="AK156" s="21">
        <f>IF(Q156="ANULADA","N/A",IF(ABS(AJ156)&gt;10,"Pendiente",IF(MAX(AB156,AD156,AF156)=0,"Pendiente",MAX(0,MAX(AB156,AD156,AF156)-O156))))</f>
        <v/>
      </c>
    </row>
    <row r="157" ht="15" customHeight="1">
      <c r="A157" s="22" t="inlineStr">
        <is>
          <t>00-530</t>
        </is>
      </c>
      <c r="B157" s="22" t="inlineStr">
        <is>
          <t>INFRAESTRUCTURA ECONOMICA Y SOCIAL</t>
        </is>
      </c>
      <c r="C157" s="22" t="inlineStr">
        <is>
          <t>Redes y Colectores Cloacales Alderetes - Tucumán</t>
        </is>
      </c>
      <c r="D157" s="13" t="n">
        <v>0</v>
      </c>
      <c r="E157" s="13" t="n">
        <v>27</v>
      </c>
      <c r="F157" s="13" t="inlineStr">
        <is>
          <t>Basico</t>
        </is>
      </c>
      <c r="G157" s="13" t="inlineStr">
        <is>
          <t>Básico</t>
        </is>
      </c>
      <c r="H157" s="23" t="n">
        <v>45139</v>
      </c>
      <c r="I157" s="104" t="n">
        <v>112878.66</v>
      </c>
      <c r="J157" s="105" t="n">
        <v>1015907.94</v>
      </c>
      <c r="K157" s="105" t="n">
        <v>1015907.94</v>
      </c>
      <c r="L157" s="13" t="inlineStr">
        <is>
          <t>Validado</t>
        </is>
      </c>
      <c r="M157" s="22" t="inlineStr">
        <is>
          <t>FC B</t>
        </is>
      </c>
      <c r="N157" s="24" t="n">
        <v>2001</v>
      </c>
      <c r="O157" s="106" t="n">
        <v>46035</v>
      </c>
      <c r="P157" s="22" t="inlineStr">
        <is>
          <t>Certificado Nº 27 - Ago'25 - Redes y Colectores Cloacales Alderetes - Tucumán (00530)</t>
        </is>
      </c>
      <c r="Q157" s="22" t="inlineStr">
        <is>
          <t>NO</t>
        </is>
      </c>
      <c r="R157" s="22" t="inlineStr">
        <is>
          <t>N/A</t>
        </is>
      </c>
      <c r="S157" s="105">
        <f>+J157</f>
        <v/>
      </c>
      <c r="T157" s="105" t="n"/>
      <c r="U157" s="105" t="n">
        <v>0</v>
      </c>
      <c r="V157" s="105" t="n">
        <v>0</v>
      </c>
      <c r="W157" s="105">
        <f>IF(A157="00-175",U157*0.003,U157*0.025)</f>
        <v/>
      </c>
      <c r="X157" s="105">
        <f>IF(A157="00-175",U157*0.06,0)</f>
        <v/>
      </c>
      <c r="Y157" s="105" t="n">
        <v>0</v>
      </c>
      <c r="Z157" s="105" t="n"/>
      <c r="AA157" s="105">
        <f>+S157+T157+U157+W157+X157</f>
        <v/>
      </c>
      <c r="AB157" s="22" t="n"/>
      <c r="AC157" s="105" t="n"/>
      <c r="AD157" s="22" t="n"/>
      <c r="AE157" s="105" t="n"/>
      <c r="AF157" s="22" t="n"/>
      <c r="AG157" s="105" t="n"/>
      <c r="AH157" s="105" t="n"/>
      <c r="AI157" s="105">
        <f>+AC157+AE157+AG157+AH157</f>
        <v/>
      </c>
      <c r="AJ157" s="105">
        <f>+AA157-AI157</f>
        <v/>
      </c>
      <c r="AK157" s="21">
        <f>IF(Q157="ANULADA","N/A",IF(ABS(AJ157)&gt;10,"Pendiente",IF(MAX(AB157,AD157,AF157)=0,"Pendiente",MAX(0,MAX(AB157,AD157,AF157)-O157))))</f>
        <v/>
      </c>
    </row>
    <row r="158" ht="15" customHeight="1">
      <c r="A158" s="22" t="inlineStr">
        <is>
          <t>00-530</t>
        </is>
      </c>
      <c r="B158" s="22" t="inlineStr">
        <is>
          <t>INFRAESTRUCTURA ECONOMICA Y SOCIAL</t>
        </is>
      </c>
      <c r="C158" s="22" t="inlineStr">
        <is>
          <t>Redes y Colectores Cloacales Alderetes - Tucumán</t>
        </is>
      </c>
      <c r="D158" s="13" t="n">
        <v>0</v>
      </c>
      <c r="E158" s="13" t="n">
        <v>27</v>
      </c>
      <c r="F158" s="13" t="inlineStr">
        <is>
          <t>Red Def</t>
        </is>
      </c>
      <c r="G158" s="13" t="inlineStr">
        <is>
          <t>Redet.</t>
        </is>
      </c>
      <c r="H158" s="23" t="n">
        <v>45139</v>
      </c>
      <c r="I158" s="104" t="n"/>
      <c r="J158" s="105" t="n">
        <v>27253875.19</v>
      </c>
      <c r="K158" s="105" t="n">
        <v>27253875.19</v>
      </c>
      <c r="L158" s="13" t="inlineStr">
        <is>
          <t>Validado</t>
        </is>
      </c>
      <c r="M158" s="22" t="inlineStr">
        <is>
          <t>FC B</t>
        </is>
      </c>
      <c r="N158" s="24" t="n">
        <v>2002</v>
      </c>
      <c r="O158" s="106" t="n">
        <v>46035</v>
      </c>
      <c r="P158" s="22" t="inlineStr">
        <is>
          <t>Certificado de Redeterminación Definitiva Nº 27 - Ago'25 - Redes y Colectores Cloacales Alderetes - Tucumán (00530)</t>
        </is>
      </c>
      <c r="Q158" s="22" t="inlineStr">
        <is>
          <t>NO</t>
        </is>
      </c>
      <c r="R158" s="22" t="inlineStr">
        <is>
          <t>N/A</t>
        </is>
      </c>
      <c r="S158" s="105">
        <f>+J158</f>
        <v/>
      </c>
      <c r="T158" s="105" t="n"/>
      <c r="U158" s="105" t="n">
        <v>0</v>
      </c>
      <c r="V158" s="105" t="n">
        <v>0</v>
      </c>
      <c r="W158" s="105">
        <f>IF(A158="00-175",U158*0.003,U158*0.025)</f>
        <v/>
      </c>
      <c r="X158" s="105">
        <f>IF(A158="00-175",U158*0.06,0)</f>
        <v/>
      </c>
      <c r="Y158" s="105" t="n">
        <v>0</v>
      </c>
      <c r="Z158" s="105" t="n"/>
      <c r="AA158" s="105">
        <f>+S158+T158+U158+W158+X158</f>
        <v/>
      </c>
      <c r="AB158" s="22" t="n"/>
      <c r="AC158" s="105" t="n"/>
      <c r="AD158" s="22" t="n"/>
      <c r="AE158" s="105" t="n"/>
      <c r="AF158" s="22" t="n"/>
      <c r="AG158" s="105" t="n"/>
      <c r="AH158" s="105" t="n"/>
      <c r="AI158" s="105">
        <f>+AC158+AE158+AG158+AH158</f>
        <v/>
      </c>
      <c r="AJ158" s="105">
        <f>+AA158-AI158</f>
        <v/>
      </c>
      <c r="AK158" s="21">
        <f>IF(Q158="ANULADA","N/A",IF(ABS(AJ158)&gt;10,"Pendiente",IF(MAX(AB158,AD158,AF158)=0,"Pendiente",MAX(0,MAX(AB158,AD158,AF158)-O158))))</f>
        <v/>
      </c>
    </row>
    <row r="159" ht="15" customHeight="1">
      <c r="A159" s="22" t="inlineStr">
        <is>
          <t>00-530</t>
        </is>
      </c>
      <c r="B159" s="22" t="inlineStr">
        <is>
          <t>INFRAESTRUCTURA ECONOMICA Y SOCIAL</t>
        </is>
      </c>
      <c r="C159" s="22" t="inlineStr">
        <is>
          <t>Redes y Colectores Cloacales Alderetes - Tucumán</t>
        </is>
      </c>
      <c r="D159" s="13" t="n">
        <v>0</v>
      </c>
      <c r="E159" s="13" t="n">
        <v>28</v>
      </c>
      <c r="F159" s="13" t="inlineStr">
        <is>
          <t>Basico</t>
        </is>
      </c>
      <c r="G159" s="13" t="inlineStr">
        <is>
          <t>Básico</t>
        </is>
      </c>
      <c r="H159" s="23" t="n">
        <v>45170</v>
      </c>
      <c r="I159" s="104" t="n">
        <v>112878.66</v>
      </c>
      <c r="J159" s="105" t="n">
        <v>1015907.94</v>
      </c>
      <c r="K159" s="105" t="n">
        <v>1015907.94</v>
      </c>
      <c r="L159" s="13" t="inlineStr">
        <is>
          <t>Validado</t>
        </is>
      </c>
      <c r="M159" s="22" t="inlineStr">
        <is>
          <t>FC B</t>
        </is>
      </c>
      <c r="N159" s="24" t="n">
        <v>2003</v>
      </c>
      <c r="O159" s="106" t="n">
        <v>46035</v>
      </c>
      <c r="P159" s="22" t="inlineStr">
        <is>
          <t>Certificado Nº 28 - Sep'25 - Redes y Colectores Cloacales Alderetes - Tucumán (00530)</t>
        </is>
      </c>
      <c r="Q159" s="22" t="inlineStr">
        <is>
          <t>NO</t>
        </is>
      </c>
      <c r="R159" s="22" t="inlineStr">
        <is>
          <t>N/A</t>
        </is>
      </c>
      <c r="S159" s="105">
        <f>+J159</f>
        <v/>
      </c>
      <c r="T159" s="105" t="n"/>
      <c r="U159" s="105" t="n">
        <v>0</v>
      </c>
      <c r="V159" s="105" t="n">
        <v>0</v>
      </c>
      <c r="W159" s="105">
        <f>IF(A159="00-175",U159*0.003,U159*0.025)</f>
        <v/>
      </c>
      <c r="X159" s="105">
        <f>IF(A159="00-175",U159*0.06,0)</f>
        <v/>
      </c>
      <c r="Y159" s="105" t="n">
        <v>0</v>
      </c>
      <c r="Z159" s="105" t="n"/>
      <c r="AA159" s="105">
        <f>+S159+T159+U159+W159+X159</f>
        <v/>
      </c>
      <c r="AB159" s="22" t="n"/>
      <c r="AC159" s="105" t="n"/>
      <c r="AD159" s="22" t="n"/>
      <c r="AE159" s="105" t="n"/>
      <c r="AF159" s="22" t="n"/>
      <c r="AG159" s="105" t="n"/>
      <c r="AH159" s="105" t="n"/>
      <c r="AI159" s="105">
        <f>+AC159+AE159+AG159+AH159</f>
        <v/>
      </c>
      <c r="AJ159" s="105">
        <f>+AA159-AI159</f>
        <v/>
      </c>
      <c r="AK159" s="21">
        <f>IF(Q159="ANULADA","N/A",IF(ABS(AJ159)&gt;10,"Pendiente",IF(MAX(AB159,AD159,AF159)=0,"Pendiente",MAX(0,MAX(AB159,AD159,AF159)-O159))))</f>
        <v/>
      </c>
    </row>
    <row r="160" ht="15" customHeight="1">
      <c r="A160" s="22" t="inlineStr">
        <is>
          <t>00-530</t>
        </is>
      </c>
      <c r="B160" s="22" t="inlineStr">
        <is>
          <t>INFRAESTRUCTURA ECONOMICA Y SOCIAL</t>
        </is>
      </c>
      <c r="C160" s="22" t="inlineStr">
        <is>
          <t>Redes y Colectores Cloacales Alderetes - Tucumán</t>
        </is>
      </c>
      <c r="D160" s="13" t="n">
        <v>0</v>
      </c>
      <c r="E160" s="13" t="n">
        <v>28</v>
      </c>
      <c r="F160" s="13" t="inlineStr">
        <is>
          <t>Red Def</t>
        </is>
      </c>
      <c r="G160" s="13" t="inlineStr">
        <is>
          <t>Redet.</t>
        </is>
      </c>
      <c r="H160" s="23" t="n">
        <v>45170</v>
      </c>
      <c r="I160" s="104" t="n"/>
      <c r="J160" s="105" t="n">
        <v>28627721.36</v>
      </c>
      <c r="K160" s="105" t="n">
        <v>28627721.36</v>
      </c>
      <c r="L160" s="13" t="inlineStr">
        <is>
          <t>Validado</t>
        </is>
      </c>
      <c r="M160" s="22" t="inlineStr">
        <is>
          <t>FC B</t>
        </is>
      </c>
      <c r="N160" s="24" t="n">
        <v>2004</v>
      </c>
      <c r="O160" s="106" t="n">
        <v>46035</v>
      </c>
      <c r="P160" s="22" t="inlineStr">
        <is>
          <t>Certificado de Redeterminación Definitiva Nº 28 - Sep'25 - Redes y Colectores Cloacales Alderetes - Tucumán (00530)</t>
        </is>
      </c>
      <c r="Q160" s="22" t="inlineStr">
        <is>
          <t>NO</t>
        </is>
      </c>
      <c r="R160" s="22" t="inlineStr">
        <is>
          <t>N/A</t>
        </is>
      </c>
      <c r="S160" s="105">
        <f>+J160</f>
        <v/>
      </c>
      <c r="T160" s="105" t="n"/>
      <c r="U160" s="105" t="n">
        <v>0</v>
      </c>
      <c r="V160" s="105" t="n">
        <v>0</v>
      </c>
      <c r="W160" s="105">
        <f>IF(A160="00-175",U160*0.003,U160*0.025)</f>
        <v/>
      </c>
      <c r="X160" s="105">
        <f>IF(A160="00-175",U160*0.06,0)</f>
        <v/>
      </c>
      <c r="Y160" s="105" t="n">
        <v>0</v>
      </c>
      <c r="Z160" s="105" t="n"/>
      <c r="AA160" s="105">
        <f>+S160+T160+U160+W160+X160</f>
        <v/>
      </c>
      <c r="AB160" s="22" t="n"/>
      <c r="AC160" s="105" t="n"/>
      <c r="AD160" s="22" t="n"/>
      <c r="AE160" s="105" t="n"/>
      <c r="AF160" s="22" t="n"/>
      <c r="AG160" s="105" t="n"/>
      <c r="AH160" s="105" t="n"/>
      <c r="AI160" s="105">
        <f>+AC160+AE160+AG160+AH160</f>
        <v/>
      </c>
      <c r="AJ160" s="105">
        <f>+AA160-AI160</f>
        <v/>
      </c>
      <c r="AK160" s="21">
        <f>IF(Q160="ANULADA","N/A",IF(ABS(AJ160)&gt;10,"Pendiente",IF(MAX(AB160,AD160,AF160)=0,"Pendiente",MAX(0,MAX(AB160,AD160,AF160)-O160))))</f>
        <v/>
      </c>
    </row>
    <row r="161" ht="15" customHeight="1">
      <c r="A161" s="22" t="inlineStr">
        <is>
          <t>00-530</t>
        </is>
      </c>
      <c r="B161" s="22" t="inlineStr">
        <is>
          <t>INFRAESTRUCTURA ECONOMICA Y SOCIAL</t>
        </is>
      </c>
      <c r="C161" s="22" t="inlineStr">
        <is>
          <t>Redes y Colectores Cloacales Alderetes - Tucumán</t>
        </is>
      </c>
      <c r="D161" s="13" t="n">
        <v>0</v>
      </c>
      <c r="E161" s="13" t="n">
        <v>29</v>
      </c>
      <c r="F161" s="13" t="inlineStr">
        <is>
          <t>Basico</t>
        </is>
      </c>
      <c r="G161" s="13" t="inlineStr">
        <is>
          <t>Básico</t>
        </is>
      </c>
      <c r="H161" s="23" t="n">
        <v>45200</v>
      </c>
      <c r="I161" s="104" t="n">
        <v>26488.94</v>
      </c>
      <c r="J161" s="105" t="n">
        <v>238400.46</v>
      </c>
      <c r="K161" s="105" t="n">
        <v>238400.46</v>
      </c>
      <c r="L161" s="13" t="inlineStr">
        <is>
          <t>Validado</t>
        </is>
      </c>
      <c r="M161" s="22" t="inlineStr">
        <is>
          <t>FC B</t>
        </is>
      </c>
      <c r="N161" s="24" t="n">
        <v>2005</v>
      </c>
      <c r="O161" s="106" t="n">
        <v>46035</v>
      </c>
      <c r="P161" s="22" t="inlineStr">
        <is>
          <t>Certificado Nº 29 - Oct'25 - Redes y Colectores Cloacales Alderetes - Tucumán (00530)</t>
        </is>
      </c>
      <c r="Q161" s="22" t="inlineStr">
        <is>
          <t>NO</t>
        </is>
      </c>
      <c r="R161" s="22" t="inlineStr">
        <is>
          <t>N/A</t>
        </is>
      </c>
      <c r="S161" s="105">
        <f>+J161</f>
        <v/>
      </c>
      <c r="T161" s="105" t="n"/>
      <c r="U161" s="105" t="n">
        <v>0</v>
      </c>
      <c r="V161" s="105" t="n">
        <v>0</v>
      </c>
      <c r="W161" s="105">
        <f>IF(A161="00-175",U161*0.003,U161*0.025)</f>
        <v/>
      </c>
      <c r="X161" s="105">
        <f>IF(A161="00-175",U161*0.06,0)</f>
        <v/>
      </c>
      <c r="Y161" s="105" t="n">
        <v>0</v>
      </c>
      <c r="Z161" s="105" t="n"/>
      <c r="AA161" s="105">
        <f>+S161+T161+U161+W161+X161</f>
        <v/>
      </c>
      <c r="AB161" s="22" t="n"/>
      <c r="AC161" s="105" t="n"/>
      <c r="AD161" s="22" t="n"/>
      <c r="AE161" s="105" t="n"/>
      <c r="AF161" s="22" t="n"/>
      <c r="AG161" s="105" t="n"/>
      <c r="AH161" s="105" t="n"/>
      <c r="AI161" s="105">
        <f>+AC161+AE161+AG161+AH161</f>
        <v/>
      </c>
      <c r="AJ161" s="105">
        <f>+AA161-AI161</f>
        <v/>
      </c>
      <c r="AK161" s="21">
        <f>IF(Q161="ANULADA","N/A",IF(ABS(AJ161)&gt;10,"Pendiente",IF(MAX(AB161,AD161,AF161)=0,"Pendiente",MAX(0,MAX(AB161,AD161,AF161)-O161))))</f>
        <v/>
      </c>
    </row>
    <row r="162" ht="14.25" customHeight="1">
      <c r="A162" s="22" t="inlineStr">
        <is>
          <t>00-530</t>
        </is>
      </c>
      <c r="B162" s="22" t="inlineStr">
        <is>
          <t>INFRAESTRUCTURA ECONOMICA Y SOCIAL</t>
        </is>
      </c>
      <c r="C162" s="22" t="inlineStr">
        <is>
          <t>Redes y Colectores Cloacales Alderetes - Tucumán</t>
        </is>
      </c>
      <c r="D162" s="13" t="n">
        <v>0</v>
      </c>
      <c r="E162" s="13" t="n">
        <v>29</v>
      </c>
      <c r="F162" s="13" t="inlineStr">
        <is>
          <t>Red Def</t>
        </is>
      </c>
      <c r="G162" s="13" t="inlineStr">
        <is>
          <t>Redet.</t>
        </is>
      </c>
      <c r="H162" s="23" t="n">
        <v>45200</v>
      </c>
      <c r="I162" s="104" t="n"/>
      <c r="J162" s="105" t="n">
        <v>6758414.64</v>
      </c>
      <c r="K162" s="105" t="n">
        <v>6758414.64</v>
      </c>
      <c r="L162" s="13" t="inlineStr">
        <is>
          <t>Validado</t>
        </is>
      </c>
      <c r="M162" s="22" t="inlineStr">
        <is>
          <t>FC B</t>
        </is>
      </c>
      <c r="N162" s="24" t="n">
        <v>2006</v>
      </c>
      <c r="O162" s="106" t="n">
        <v>46035</v>
      </c>
      <c r="P162" s="22" t="inlineStr">
        <is>
          <t>Certificado de Redeterminación Definitiva Nº 29 - Oct'25 - Redes y Colectores Cloacales Alderetes - Tucumán (00530)</t>
        </is>
      </c>
      <c r="Q162" s="22" t="inlineStr">
        <is>
          <t>NO</t>
        </is>
      </c>
      <c r="R162" s="22" t="inlineStr">
        <is>
          <t>N/A</t>
        </is>
      </c>
      <c r="S162" s="105">
        <f>+J162</f>
        <v/>
      </c>
      <c r="T162" s="105" t="n"/>
      <c r="U162" s="105" t="n">
        <v>0</v>
      </c>
      <c r="V162" s="105" t="n">
        <v>0</v>
      </c>
      <c r="W162" s="105">
        <f>IF(A162="00-175",U162*0.003,U162*0.025)</f>
        <v/>
      </c>
      <c r="X162" s="105">
        <f>IF(A162="00-175",U162*0.06,0)</f>
        <v/>
      </c>
      <c r="Y162" s="105" t="n">
        <v>0</v>
      </c>
      <c r="Z162" s="105" t="n"/>
      <c r="AA162" s="105">
        <f>+S162+T162+U162+W162+X162</f>
        <v/>
      </c>
      <c r="AB162" s="22" t="n"/>
      <c r="AC162" s="105" t="n"/>
      <c r="AD162" s="22" t="n"/>
      <c r="AE162" s="105" t="n"/>
      <c r="AF162" s="22" t="n"/>
      <c r="AG162" s="105" t="n"/>
      <c r="AH162" s="105" t="n"/>
      <c r="AI162" s="105">
        <f>+AC162+AE162+AG162+AH162</f>
        <v/>
      </c>
      <c r="AJ162" s="105">
        <f>+AA162-AI162</f>
        <v/>
      </c>
      <c r="AK162" s="21">
        <f>IF(Q162="ANULADA","N/A",IF(ABS(AJ162)&gt;10,"Pendiente",IF(MAX(AB162,AD162,AF162)=0,"Pendiente",MAX(0,MAX(AB162,AD162,AF162)-O162))))</f>
        <v/>
      </c>
    </row>
    <row r="163" ht="14.25" customHeight="1">
      <c r="A163" s="39" t="inlineStr">
        <is>
          <t>00-530</t>
        </is>
      </c>
      <c r="B163" s="22" t="inlineStr">
        <is>
          <t>INFRAESTRUCTURA ECONOMICA Y SOCIAL</t>
        </is>
      </c>
      <c r="C163" s="39" t="inlineStr">
        <is>
          <t>Redes y Colectores Cloacales Alderetes - Tucumán</t>
        </is>
      </c>
      <c r="D163" s="13" t="n"/>
      <c r="E163" s="13" t="n"/>
      <c r="F163" s="13" t="n"/>
      <c r="G163" s="13" t="inlineStr">
        <is>
          <t>Básico</t>
        </is>
      </c>
      <c r="H163" s="23" t="n">
        <v>45809</v>
      </c>
      <c r="I163" s="104" t="n"/>
      <c r="J163" s="105" t="n">
        <v>0</v>
      </c>
      <c r="K163" s="105" t="n">
        <v>0</v>
      </c>
      <c r="L163" s="13" t="n"/>
      <c r="M163" s="39" t="inlineStr">
        <is>
          <t>FC B</t>
        </is>
      </c>
      <c r="N163" s="39" t="n">
        <v>2007</v>
      </c>
      <c r="O163" s="117" t="n">
        <v>46041</v>
      </c>
      <c r="P163" s="39" t="inlineStr">
        <is>
          <t>Certificado Nº 25 - Jun'25. - Redes y Colectores Cloacales Alderetes - Tucumán (00530)</t>
        </is>
      </c>
      <c r="Q163" s="39" t="inlineStr">
        <is>
          <t>ANULADA</t>
        </is>
      </c>
      <c r="R163" s="39" t="n">
        <v>190</v>
      </c>
      <c r="S163" s="105">
        <f>+J163</f>
        <v/>
      </c>
      <c r="T163" s="105" t="n"/>
      <c r="U163" s="105" t="n">
        <v>0</v>
      </c>
      <c r="V163" s="105" t="n">
        <v>0</v>
      </c>
      <c r="W163" s="105">
        <f>IF(A163="00-175",U163*0.003,U163*0.025)</f>
        <v/>
      </c>
      <c r="X163" s="105">
        <f>IF(A163="00-175",U163*0.06,0)</f>
        <v/>
      </c>
      <c r="Y163" s="105" t="n">
        <v>0</v>
      </c>
      <c r="Z163" s="105" t="n"/>
      <c r="AA163" s="105">
        <f>+S163+T163+U163+W163+X163</f>
        <v/>
      </c>
      <c r="AB163" s="39" t="n"/>
      <c r="AC163" s="105" t="n"/>
      <c r="AD163" s="39" t="n"/>
      <c r="AE163" s="105" t="n"/>
      <c r="AF163" s="39" t="n"/>
      <c r="AG163" s="105" t="n"/>
      <c r="AH163" s="105" t="n"/>
      <c r="AI163" s="105">
        <f>+AC163+AE163+AG163+AH163</f>
        <v/>
      </c>
      <c r="AJ163" s="105">
        <f>+AA163-AI163</f>
        <v/>
      </c>
      <c r="AK163" s="21">
        <f>IF(Q163="ANULADA","N/A",IF(ABS(AJ163)&gt;10,"Pendiente",IF(MAX(AB163,AD163,AF163)=0,"Pendiente",MAX(0,MAX(AB163,AD163,AF163)-O163))))</f>
        <v/>
      </c>
    </row>
    <row r="164" ht="14.25" customHeight="1">
      <c r="A164" s="22" t="inlineStr">
        <is>
          <t>00-530</t>
        </is>
      </c>
      <c r="B164" s="22" t="inlineStr">
        <is>
          <t>INFRAESTRUCTURA ECONOMICA Y SOCIAL</t>
        </is>
      </c>
      <c r="C164" s="22" t="inlineStr">
        <is>
          <t>Redes y Colectores Cloacales Alderetes - Tucumán</t>
        </is>
      </c>
      <c r="D164" s="13" t="n">
        <v>0</v>
      </c>
      <c r="E164" s="13" t="n">
        <v>30</v>
      </c>
      <c r="F164" s="13" t="inlineStr">
        <is>
          <t>Basico</t>
        </is>
      </c>
      <c r="G164" s="13" t="inlineStr">
        <is>
          <t>Básico</t>
        </is>
      </c>
      <c r="H164" s="23" t="n">
        <v>45231</v>
      </c>
      <c r="I164" s="104" t="n">
        <v>49383.137</v>
      </c>
      <c r="J164" s="105" t="n">
        <v>444448.23</v>
      </c>
      <c r="K164" s="105" t="n">
        <v>444448.23</v>
      </c>
      <c r="L164" s="13" t="inlineStr">
        <is>
          <t>Validado</t>
        </is>
      </c>
      <c r="M164" s="22" t="inlineStr">
        <is>
          <t>FC B</t>
        </is>
      </c>
      <c r="N164" s="24" t="n">
        <v>2008</v>
      </c>
      <c r="O164" s="106" t="n">
        <v>46051</v>
      </c>
      <c r="P164" s="22" t="inlineStr">
        <is>
          <t>Certificado Nº 30 - Nov'25.  - Redes y Colectores Cloacales Alderetes - Tucumán (00530)</t>
        </is>
      </c>
      <c r="Q164" s="22" t="inlineStr">
        <is>
          <t>NO</t>
        </is>
      </c>
      <c r="R164" s="22" t="inlineStr">
        <is>
          <t>N/A</t>
        </is>
      </c>
      <c r="S164" s="105">
        <f>+J164</f>
        <v/>
      </c>
      <c r="T164" s="105" t="n"/>
      <c r="U164" s="105" t="n">
        <v>0</v>
      </c>
      <c r="V164" s="105" t="n">
        <v>0</v>
      </c>
      <c r="W164" s="105">
        <f>IF(A164="00-175",U164*0.003,U164*0.025)</f>
        <v/>
      </c>
      <c r="X164" s="105">
        <f>IF(A164="00-175",U164*0.06,0)</f>
        <v/>
      </c>
      <c r="Y164" s="105" t="n">
        <v>0</v>
      </c>
      <c r="Z164" s="105" t="n"/>
      <c r="AA164" s="105">
        <f>+S164+T164+U164+W164+X164</f>
        <v/>
      </c>
      <c r="AB164" s="22" t="n"/>
      <c r="AC164" s="105" t="n"/>
      <c r="AD164" s="22" t="n"/>
      <c r="AE164" s="105" t="n"/>
      <c r="AF164" s="22" t="n"/>
      <c r="AG164" s="105" t="n"/>
      <c r="AH164" s="105" t="n"/>
      <c r="AI164" s="105">
        <f>+AC164+AE164+AG164+AH164</f>
        <v/>
      </c>
      <c r="AJ164" s="105">
        <f>+AA164-AI164</f>
        <v/>
      </c>
      <c r="AK164" s="21">
        <f>IF(Q164="ANULADA","N/A",IF(ABS(AJ164)&gt;10,"Pendiente",IF(MAX(AB164,AD164,AF164)=0,"Pendiente",MAX(0,MAX(AB164,AD164,AF164)-O164))))</f>
        <v/>
      </c>
    </row>
    <row r="165" ht="14.25" customHeight="1">
      <c r="A165" s="39" t="inlineStr">
        <is>
          <t>00-530</t>
        </is>
      </c>
      <c r="B165" s="22" t="inlineStr">
        <is>
          <t>INFRAESTRUCTURA ECONOMICA Y SOCIAL</t>
        </is>
      </c>
      <c r="C165" s="39" t="inlineStr">
        <is>
          <t>Redes y Colectores Cloacales Alderetes - Tucumán</t>
        </is>
      </c>
      <c r="D165" s="13" t="n"/>
      <c r="E165" s="13" t="n"/>
      <c r="F165" s="13" t="n"/>
      <c r="G165" s="13" t="inlineStr">
        <is>
          <t>Redet.</t>
        </is>
      </c>
      <c r="H165" s="23" t="n">
        <v>45962</v>
      </c>
      <c r="I165" s="104" t="n"/>
      <c r="J165" s="105" t="n">
        <v>0</v>
      </c>
      <c r="K165" s="105" t="n">
        <v>0</v>
      </c>
      <c r="L165" s="13" t="n"/>
      <c r="M165" s="39" t="inlineStr">
        <is>
          <t>FC B</t>
        </is>
      </c>
      <c r="N165" s="39" t="n">
        <v>2009</v>
      </c>
      <c r="O165" s="117" t="n">
        <v>46051</v>
      </c>
      <c r="P165" s="39" t="inlineStr">
        <is>
          <t>Certificado de Redeterminación Definitiva Nº 30 - Nov'25 - Redes y Colectores Cloacales Alderetes - Tucumán (00530)</t>
        </is>
      </c>
      <c r="Q165" s="39" t="inlineStr">
        <is>
          <t>ANULADA</t>
        </is>
      </c>
      <c r="R165" s="39" t="n">
        <v>191</v>
      </c>
      <c r="S165" s="105">
        <f>+J165</f>
        <v/>
      </c>
      <c r="T165" s="105" t="n"/>
      <c r="U165" s="105" t="n">
        <v>0</v>
      </c>
      <c r="V165" s="105" t="n">
        <v>0</v>
      </c>
      <c r="W165" s="105">
        <f>IF(A165="00-175",U165*0.003,U165*0.025)</f>
        <v/>
      </c>
      <c r="X165" s="105">
        <f>IF(A165="00-175",U165*0.06,0)</f>
        <v/>
      </c>
      <c r="Y165" s="105" t="n">
        <v>0</v>
      </c>
      <c r="Z165" s="105" t="n"/>
      <c r="AA165" s="105">
        <f>+S165+T165+U165+W165+X165</f>
        <v/>
      </c>
      <c r="AB165" s="39" t="n"/>
      <c r="AC165" s="105" t="n"/>
      <c r="AD165" s="39" t="n"/>
      <c r="AE165" s="105" t="n"/>
      <c r="AF165" s="39" t="n"/>
      <c r="AG165" s="105" t="n"/>
      <c r="AH165" s="105" t="n"/>
      <c r="AI165" s="105">
        <f>+AC165+AE165+AG165+AH165</f>
        <v/>
      </c>
      <c r="AJ165" s="105">
        <f>+AA165-AI165</f>
        <v/>
      </c>
      <c r="AK165" s="21">
        <f>IF(Q165="ANULADA","N/A",IF(ABS(AJ165)&gt;10,"Pendiente",IF(MAX(AB165,AD165,AF165)=0,"Pendiente",MAX(0,MAX(AB165,AD165,AF165)-O165))))</f>
        <v/>
      </c>
    </row>
    <row r="166" ht="14.25" customHeight="1">
      <c r="A166" s="22" t="inlineStr">
        <is>
          <t>00-530</t>
        </is>
      </c>
      <c r="B166" s="22" t="inlineStr">
        <is>
          <t>INFRAESTRUCTURA ECONOMICA Y SOCIAL</t>
        </is>
      </c>
      <c r="C166" s="22" t="inlineStr">
        <is>
          <t>Redes y Colectores Cloacales Alderetes - Tucumán</t>
        </is>
      </c>
      <c r="D166" s="13" t="n">
        <v>0</v>
      </c>
      <c r="E166" s="13" t="n">
        <v>30</v>
      </c>
      <c r="F166" s="13" t="inlineStr">
        <is>
          <t>Red Def</t>
        </is>
      </c>
      <c r="G166" s="13" t="inlineStr">
        <is>
          <t>Redet.</t>
        </is>
      </c>
      <c r="H166" s="23" t="n">
        <v>45231</v>
      </c>
      <c r="I166" s="104" t="n"/>
      <c r="J166" s="105" t="n">
        <v>12832109.38</v>
      </c>
      <c r="K166" s="105" t="n">
        <v>12832109.38</v>
      </c>
      <c r="L166" s="13" t="inlineStr">
        <is>
          <t>Validado</t>
        </is>
      </c>
      <c r="M166" s="22" t="inlineStr">
        <is>
          <t>FC B</t>
        </is>
      </c>
      <c r="N166" s="24" t="n">
        <v>2010</v>
      </c>
      <c r="O166" s="106" t="n">
        <v>46051</v>
      </c>
      <c r="P166" s="22" t="inlineStr">
        <is>
          <t>Certificado de Redeterminación Definitiva Nº 30 - Nov'25. - Redes y Colectores Cloacales Alderetes - Tucumán (00530)</t>
        </is>
      </c>
      <c r="Q166" s="22" t="inlineStr">
        <is>
          <t>NO</t>
        </is>
      </c>
      <c r="R166" s="22" t="inlineStr">
        <is>
          <t>N/A</t>
        </is>
      </c>
      <c r="S166" s="105">
        <f>+J166</f>
        <v/>
      </c>
      <c r="T166" s="105" t="n"/>
      <c r="U166" s="105" t="n">
        <v>0</v>
      </c>
      <c r="V166" s="105" t="n">
        <v>0</v>
      </c>
      <c r="W166" s="105">
        <f>IF(A166="00-175",U166*0.003,U166*0.025)</f>
        <v/>
      </c>
      <c r="X166" s="105">
        <f>IF(A166="00-175",U166*0.06,0)</f>
        <v/>
      </c>
      <c r="Y166" s="105" t="n">
        <v>0</v>
      </c>
      <c r="Z166" s="105" t="n"/>
      <c r="AA166" s="105">
        <f>+S166+T166+U166+W166+X166</f>
        <v/>
      </c>
      <c r="AB166" s="22" t="n"/>
      <c r="AC166" s="105" t="n"/>
      <c r="AD166" s="22" t="n"/>
      <c r="AE166" s="105" t="n"/>
      <c r="AF166" s="22" t="n"/>
      <c r="AG166" s="105" t="n"/>
      <c r="AH166" s="105" t="n"/>
      <c r="AI166" s="105">
        <f>+AC166+AE166+AG166+AH166</f>
        <v/>
      </c>
      <c r="AJ166" s="105">
        <f>+AA166-AI166</f>
        <v/>
      </c>
      <c r="AK166" s="21">
        <f>IF(Q166="ANULADA","N/A",IF(ABS(AJ166)&gt;10,"Pendiente",IF(MAX(AB166,AD166,AF166)=0,"Pendiente",MAX(0,MAX(AB166,AD166,AF166)-O166))))</f>
        <v/>
      </c>
    </row>
    <row r="167" ht="14.25" customHeight="1">
      <c r="A167" s="22" t="inlineStr">
        <is>
          <t>00-530</t>
        </is>
      </c>
      <c r="B167" s="22" t="inlineStr">
        <is>
          <t>INFRAESTRUCTURA ECONOMICA Y SOCIAL</t>
        </is>
      </c>
      <c r="C167" s="22" t="inlineStr">
        <is>
          <t>Redes y Colectores Cloacales Alderetes - Tucumán</t>
        </is>
      </c>
      <c r="D167" s="13" t="n">
        <v>0</v>
      </c>
      <c r="E167" s="13" t="n">
        <v>31</v>
      </c>
      <c r="F167" s="13" t="inlineStr">
        <is>
          <t>Basico</t>
        </is>
      </c>
      <c r="G167" s="13" t="inlineStr">
        <is>
          <t>Básico</t>
        </is>
      </c>
      <c r="H167" s="23" t="n">
        <v>45992</v>
      </c>
      <c r="I167" s="104" t="n">
        <v>20450.694</v>
      </c>
      <c r="J167" s="105" t="n">
        <v>184056.25</v>
      </c>
      <c r="K167" s="105" t="n">
        <v>184056.25</v>
      </c>
      <c r="L167" s="13" t="inlineStr">
        <is>
          <t>Validado</t>
        </is>
      </c>
      <c r="M167" s="22" t="inlineStr">
        <is>
          <t>FC B</t>
        </is>
      </c>
      <c r="N167" s="24" t="n">
        <v>2011</v>
      </c>
      <c r="O167" s="106" t="n">
        <v>46056</v>
      </c>
      <c r="P167" s="22" t="inlineStr">
        <is>
          <t>Certificado Nº 31 - Dic'25. - Redes y Colectores Cloacales Alderetes - Tucumán (00530)</t>
        </is>
      </c>
      <c r="Q167" s="22" t="inlineStr">
        <is>
          <t>NO</t>
        </is>
      </c>
      <c r="R167" s="22" t="inlineStr">
        <is>
          <t>N/A</t>
        </is>
      </c>
      <c r="S167" s="105">
        <f>+J167</f>
        <v/>
      </c>
      <c r="T167" s="105" t="n"/>
      <c r="U167" s="105" t="n">
        <v>0</v>
      </c>
      <c r="V167" s="105" t="n">
        <v>0</v>
      </c>
      <c r="W167" s="105">
        <f>IF(A167="00-175",U167*0.003,U167*0.025)</f>
        <v/>
      </c>
      <c r="X167" s="105">
        <f>IF(A167="00-175",U167*0.06,0)</f>
        <v/>
      </c>
      <c r="Y167" s="105" t="n">
        <v>0</v>
      </c>
      <c r="Z167" s="105" t="n"/>
      <c r="AA167" s="105">
        <f>+S167+T167+U167+W167+X167</f>
        <v/>
      </c>
      <c r="AB167" s="22" t="n"/>
      <c r="AC167" s="105" t="n"/>
      <c r="AD167" s="22" t="n"/>
      <c r="AE167" s="105" t="n"/>
      <c r="AF167" s="22" t="n"/>
      <c r="AG167" s="105" t="n"/>
      <c r="AH167" s="105" t="n"/>
      <c r="AI167" s="105">
        <f>+AC167+AE167+AG167+AH167</f>
        <v/>
      </c>
      <c r="AJ167" s="105">
        <f>+AA167-AI167</f>
        <v/>
      </c>
      <c r="AK167" s="21">
        <f>IF(Q167="ANULADA","N/A",IF(ABS(AJ167)&gt;10,"Pendiente",IF(MAX(AB167,AD167,AF167)=0,"Pendiente",MAX(0,MAX(AB167,AD167,AF167)-O167))))</f>
        <v/>
      </c>
    </row>
    <row r="168" ht="14.25" customHeight="1">
      <c r="A168" s="22" t="inlineStr">
        <is>
          <t>00-530</t>
        </is>
      </c>
      <c r="B168" s="22" t="inlineStr">
        <is>
          <t>INFRAESTRUCTURA ECONOMICA Y SOCIAL</t>
        </is>
      </c>
      <c r="C168" s="22" t="inlineStr">
        <is>
          <t>Redes y Colectores Cloacales Alderetes - Tucumán</t>
        </is>
      </c>
      <c r="D168" s="13" t="n">
        <v>0</v>
      </c>
      <c r="E168" s="13" t="n">
        <v>31</v>
      </c>
      <c r="F168" s="13" t="inlineStr">
        <is>
          <t>Red Def</t>
        </is>
      </c>
      <c r="G168" s="13" t="inlineStr">
        <is>
          <t>Redet.</t>
        </is>
      </c>
      <c r="H168" s="23" t="n">
        <v>45992</v>
      </c>
      <c r="I168" s="104" t="n"/>
      <c r="J168" s="105" t="n">
        <v>5425916.78</v>
      </c>
      <c r="K168" s="105" t="n">
        <v>5425916.78</v>
      </c>
      <c r="L168" s="13" t="inlineStr">
        <is>
          <t>Validado</t>
        </is>
      </c>
      <c r="M168" s="22" t="inlineStr">
        <is>
          <t>FC B</t>
        </is>
      </c>
      <c r="N168" s="24" t="n">
        <v>2012</v>
      </c>
      <c r="O168" s="106" t="n">
        <v>46056</v>
      </c>
      <c r="P168" s="22" t="inlineStr">
        <is>
          <t>Certificado de Redeterminación Definitiva Nº 31 - Dic'25 - Redes y Colectores Cloacales Alderetes - Tucumán (00530)</t>
        </is>
      </c>
      <c r="Q168" s="22" t="inlineStr">
        <is>
          <t>NO</t>
        </is>
      </c>
      <c r="R168" s="22" t="inlineStr">
        <is>
          <t>N/A</t>
        </is>
      </c>
      <c r="S168" s="105">
        <f>+J168</f>
        <v/>
      </c>
      <c r="T168" s="105" t="n"/>
      <c r="U168" s="105" t="n">
        <v>0</v>
      </c>
      <c r="V168" s="105" t="n">
        <v>0</v>
      </c>
      <c r="W168" s="105">
        <f>IF(A168="00-175",U168*0.003,U168*0.025)</f>
        <v/>
      </c>
      <c r="X168" s="105">
        <f>IF(A168="00-175",U168*0.06,0)</f>
        <v/>
      </c>
      <c r="Y168" s="105" t="n">
        <v>0</v>
      </c>
      <c r="Z168" s="105" t="n"/>
      <c r="AA168" s="105">
        <f>+S168+T168+U168+W168+X168</f>
        <v/>
      </c>
      <c r="AB168" s="22" t="n"/>
      <c r="AC168" s="105" t="n"/>
      <c r="AD168" s="22" t="n"/>
      <c r="AE168" s="105" t="n"/>
      <c r="AF168" s="22" t="n"/>
      <c r="AG168" s="105" t="n"/>
      <c r="AH168" s="105" t="n"/>
      <c r="AI168" s="105">
        <f>+AC168+AE168+AG168+AH168</f>
        <v/>
      </c>
      <c r="AJ168" s="105">
        <f>+AA168-AI168</f>
        <v/>
      </c>
      <c r="AK168" s="21">
        <f>IF(Q168="ANULADA","N/A",IF(ABS(AJ168)&gt;10,"Pendiente",IF(MAX(AB168,AD168,AF168)=0,"Pendiente",MAX(0,MAX(AB168,AD168,AF168)-O168))))</f>
        <v/>
      </c>
    </row>
    <row r="169" ht="14.25" customHeight="1">
      <c r="A169" s="22" t="inlineStr">
        <is>
          <t>00-530</t>
        </is>
      </c>
      <c r="B169" s="22" t="inlineStr">
        <is>
          <t>INFRAESTRUCTURA ECONOMICA Y SOCIAL</t>
        </is>
      </c>
      <c r="C169" s="22" t="inlineStr">
        <is>
          <t>Redes y Colectores Cloacales Alderetes - Tucumán</t>
        </is>
      </c>
      <c r="D169" s="13" t="n"/>
      <c r="E169" s="13" t="n"/>
      <c r="F169" s="13" t="n"/>
      <c r="G169" s="13" t="inlineStr">
        <is>
          <t>Básico</t>
        </is>
      </c>
      <c r="H169" s="23" t="n">
        <v>46023</v>
      </c>
      <c r="I169" s="104" t="n"/>
      <c r="J169" s="105" t="n">
        <v>0</v>
      </c>
      <c r="K169" s="105" t="n">
        <v>0</v>
      </c>
      <c r="L169" s="13" t="n"/>
      <c r="M169" s="22" t="inlineStr">
        <is>
          <t>FC B</t>
        </is>
      </c>
      <c r="N169" s="24" t="n">
        <v>2013</v>
      </c>
      <c r="O169" s="106" t="n">
        <v>46056</v>
      </c>
      <c r="P169" s="22" t="inlineStr">
        <is>
          <t>Certificado Nº 32 - Ene'26. - Redes y Colectores Cloacales Alderetes - Tucumán (00530)</t>
        </is>
      </c>
      <c r="Q169" s="39" t="inlineStr">
        <is>
          <t>ANULADA</t>
        </is>
      </c>
      <c r="R169" s="22" t="n">
        <v>197</v>
      </c>
      <c r="S169" s="105">
        <f>+J169</f>
        <v/>
      </c>
      <c r="T169" s="105" t="n"/>
      <c r="U169" s="105" t="n">
        <v>0</v>
      </c>
      <c r="V169" s="105" t="n">
        <v>0</v>
      </c>
      <c r="W169" s="105">
        <f>IF(A169="00-175",U169*0.003,U169*0.025)</f>
        <v/>
      </c>
      <c r="X169" s="105">
        <f>IF(A169="00-175",U169*0.06,0)</f>
        <v/>
      </c>
      <c r="Y169" s="105" t="n">
        <v>0</v>
      </c>
      <c r="Z169" s="105" t="n"/>
      <c r="AA169" s="105">
        <f>+S169+T169+U169+W169+X169</f>
        <v/>
      </c>
      <c r="AB169" s="22" t="n"/>
      <c r="AC169" s="105" t="n"/>
      <c r="AD169" s="22" t="n"/>
      <c r="AE169" s="105" t="n"/>
      <c r="AF169" s="22" t="n"/>
      <c r="AG169" s="105" t="n"/>
      <c r="AH169" s="105" t="n"/>
      <c r="AI169" s="105">
        <f>+AC169+AE169+AG169+AH169</f>
        <v/>
      </c>
      <c r="AJ169" s="105">
        <f>+AA169-AI169</f>
        <v/>
      </c>
      <c r="AK169" s="21">
        <f>IF(Q169="ANULADA","N/A",IF(ABS(AJ169)&gt;10,"Pendiente",IF(MAX(AB169,AD169,AF169)=0,"Pendiente",MAX(0,MAX(AB169,AD169,AF169)-O169))))</f>
        <v/>
      </c>
    </row>
    <row r="170" ht="14.25" customHeight="1">
      <c r="A170" s="22" t="inlineStr">
        <is>
          <t>00-530</t>
        </is>
      </c>
      <c r="B170" s="22" t="inlineStr">
        <is>
          <t>INFRAESTRUCTURA ECONOMICA Y SOCIAL</t>
        </is>
      </c>
      <c r="C170" s="22" t="inlineStr">
        <is>
          <t>Redes y Colectores Cloacales Alderetes - Tucumán</t>
        </is>
      </c>
      <c r="D170" s="13" t="n"/>
      <c r="E170" s="13" t="n"/>
      <c r="F170" s="13" t="n"/>
      <c r="G170" s="13" t="inlineStr">
        <is>
          <t>Redet.</t>
        </is>
      </c>
      <c r="H170" s="23" t="n">
        <v>46023</v>
      </c>
      <c r="I170" s="104" t="n"/>
      <c r="J170" s="105" t="n">
        <v>0</v>
      </c>
      <c r="K170" s="105" t="n">
        <v>0</v>
      </c>
      <c r="L170" s="13" t="n"/>
      <c r="M170" s="22" t="inlineStr">
        <is>
          <t>FC B</t>
        </is>
      </c>
      <c r="N170" s="24" t="n">
        <v>2014</v>
      </c>
      <c r="O170" s="106" t="n">
        <v>46059</v>
      </c>
      <c r="P170" s="22" t="inlineStr">
        <is>
          <t>Certificado de Redeterminación Provisoria Nº 32 - Ene'26. - Redes y Colectores Cloacales Alderetes - Tucumán (00530)</t>
        </is>
      </c>
      <c r="Q170" s="39" t="inlineStr">
        <is>
          <t>ANULADA</t>
        </is>
      </c>
      <c r="R170" s="22" t="n">
        <v>198</v>
      </c>
      <c r="S170" s="105">
        <f>+J170</f>
        <v/>
      </c>
      <c r="T170" s="105" t="n"/>
      <c r="U170" s="105" t="n">
        <v>0</v>
      </c>
      <c r="V170" s="105" t="n">
        <v>0</v>
      </c>
      <c r="W170" s="105">
        <f>IF(A170="00-175",U170*0.003,U170*0.025)</f>
        <v/>
      </c>
      <c r="X170" s="105">
        <f>IF(A170="00-175",U170*0.06,0)</f>
        <v/>
      </c>
      <c r="Y170" s="105" t="n">
        <v>0</v>
      </c>
      <c r="Z170" s="105" t="n"/>
      <c r="AA170" s="105">
        <f>+S170+T170+U170+W170+X170+V170+Y170</f>
        <v/>
      </c>
      <c r="AB170" s="22" t="n"/>
      <c r="AC170" s="105" t="n"/>
      <c r="AD170" s="22" t="n"/>
      <c r="AE170" s="105" t="n"/>
      <c r="AF170" s="22" t="n"/>
      <c r="AG170" s="105" t="n"/>
      <c r="AH170" s="105" t="n"/>
      <c r="AI170" s="105">
        <f>+AC170+AE170+AG170+AH170</f>
        <v/>
      </c>
      <c r="AJ170" s="105">
        <f>+AA170-AI170</f>
        <v/>
      </c>
      <c r="AK170" s="21">
        <f>IF(Q170="ANULADA","N/A",IF(ABS(AJ170)&gt;10,"Pendiente",IF(MAX(AB170,AD170,AF170)=0,"Pendiente",MAX(0,MAX(AB170,AD170,AF170)-O170))))</f>
        <v/>
      </c>
    </row>
    <row r="171" ht="14.25" customHeight="1">
      <c r="A171" s="22" t="inlineStr">
        <is>
          <t>00-530</t>
        </is>
      </c>
      <c r="B171" s="22" t="inlineStr">
        <is>
          <t>INFRAESTRUCTURA ECONOMICA Y SOCIAL</t>
        </is>
      </c>
      <c r="C171" s="22" t="inlineStr">
        <is>
          <t>Redes y Colectores Cloacales Alderetes - Tucumán</t>
        </is>
      </c>
      <c r="D171" s="13" t="n">
        <v>0</v>
      </c>
      <c r="E171" s="13" t="n">
        <v>33</v>
      </c>
      <c r="F171" s="13" t="inlineStr">
        <is>
          <t>Basico</t>
        </is>
      </c>
      <c r="G171" s="13" t="inlineStr">
        <is>
          <t>Básico</t>
        </is>
      </c>
      <c r="H171" s="23" t="n">
        <v>46054</v>
      </c>
      <c r="I171" s="104" t="n">
        <v>22575.732</v>
      </c>
      <c r="J171" s="105" t="n">
        <v>203181.59</v>
      </c>
      <c r="K171" s="105" t="n">
        <v>203181.59</v>
      </c>
      <c r="L171" s="13" t="n"/>
      <c r="M171" s="22" t="inlineStr">
        <is>
          <t>FC B</t>
        </is>
      </c>
      <c r="N171" s="24" t="n">
        <v>2015</v>
      </c>
      <c r="O171" s="106" t="n">
        <v>46098</v>
      </c>
      <c r="P171" s="22" t="inlineStr">
        <is>
          <t>Certificado Nº 33 - Feb'26. - Redes y Colectores Cloacales Alderetes - Tucumán (00530)</t>
        </is>
      </c>
      <c r="Q171" s="39" t="inlineStr">
        <is>
          <t>ANULADA</t>
        </is>
      </c>
      <c r="R171" s="22" t="n">
        <v>205</v>
      </c>
      <c r="S171" s="105" t="n">
        <v>0</v>
      </c>
      <c r="T171" s="105" t="n"/>
      <c r="U171" s="105" t="n">
        <v>0</v>
      </c>
      <c r="V171" s="105" t="n">
        <v>0</v>
      </c>
      <c r="W171" s="105">
        <f>IF(A171="00-175",U171*0.003,U171*0.025)</f>
        <v/>
      </c>
      <c r="X171" s="105">
        <f>IF(A171="00-175",U171*0.06,0)</f>
        <v/>
      </c>
      <c r="Y171" s="105" t="n">
        <v>0</v>
      </c>
      <c r="Z171" s="105" t="n"/>
      <c r="AA171" s="105">
        <f>+S171+T171+U171+W171+X171</f>
        <v/>
      </c>
      <c r="AB171" s="22" t="n"/>
      <c r="AC171" s="105" t="n"/>
      <c r="AD171" s="22" t="n"/>
      <c r="AE171" s="105" t="n"/>
      <c r="AF171" s="22" t="n"/>
      <c r="AG171" s="105" t="n"/>
      <c r="AH171" s="105" t="n"/>
      <c r="AI171" s="105">
        <f>+AC171+AE171+AG171+AH171</f>
        <v/>
      </c>
      <c r="AJ171" s="105">
        <f>+AA171-AI171</f>
        <v/>
      </c>
      <c r="AK171" s="21">
        <f>IF(Q171="ANULADA","N/A",IF(ABS(AJ171)&gt;10,"Pendiente",IF(MAX(AB171,AD171,AF171)=0,"Pendiente",MAX(0,MAX(AB171,AD171,AF171)-O171))))</f>
        <v/>
      </c>
    </row>
    <row r="172" ht="14.25" customHeight="1">
      <c r="A172" s="22" t="inlineStr">
        <is>
          <t>00-530</t>
        </is>
      </c>
      <c r="B172" s="22" t="inlineStr">
        <is>
          <t>INFRAESTRUCTURA ECONOMICA Y SOCIAL</t>
        </is>
      </c>
      <c r="C172" s="22" t="inlineStr">
        <is>
          <t>Redes y Colectores Cloacales Alderetes - Tucumán</t>
        </is>
      </c>
      <c r="D172" s="13" t="n"/>
      <c r="E172" s="13" t="n"/>
      <c r="F172" s="13" t="n"/>
      <c r="G172" s="13" t="inlineStr">
        <is>
          <t>Redet.</t>
        </is>
      </c>
      <c r="H172" s="23" t="n">
        <v>46023</v>
      </c>
      <c r="I172" s="104" t="n"/>
      <c r="J172" s="105" t="n">
        <v>0</v>
      </c>
      <c r="K172" s="105" t="n">
        <v>0</v>
      </c>
      <c r="L172" s="13" t="n"/>
      <c r="M172" s="22" t="inlineStr">
        <is>
          <t>FC B</t>
        </is>
      </c>
      <c r="N172" s="24" t="n">
        <v>2016</v>
      </c>
      <c r="O172" s="106" t="n">
        <v>46098</v>
      </c>
      <c r="P172" s="22" t="inlineStr">
        <is>
          <t>Certificado de Redeterminación Definitiva Nº 32 - Ene'26. - Redes y Colectores Cloacales Alderetes - Tucumán (00530)</t>
        </is>
      </c>
      <c r="Q172" s="39" t="inlineStr">
        <is>
          <t>ANULADA</t>
        </is>
      </c>
      <c r="R172" s="22" t="n">
        <v>199</v>
      </c>
      <c r="S172" s="105">
        <f>+J172</f>
        <v/>
      </c>
      <c r="T172" s="105" t="n"/>
      <c r="U172" s="105" t="n">
        <v>0</v>
      </c>
      <c r="V172" s="105" t="n">
        <v>0</v>
      </c>
      <c r="W172" s="105">
        <f>IF(A172="00-175",U172*0.003,U172*0.025)</f>
        <v/>
      </c>
      <c r="X172" s="105">
        <f>IF(A172="00-175",U172*0.06,0)</f>
        <v/>
      </c>
      <c r="Y172" s="105" t="n">
        <v>0</v>
      </c>
      <c r="Z172" s="105" t="n"/>
      <c r="AA172" s="105">
        <f>+S172+T172+U172+W172+X172</f>
        <v/>
      </c>
      <c r="AB172" s="22" t="n"/>
      <c r="AC172" s="105" t="n"/>
      <c r="AD172" s="22" t="n"/>
      <c r="AE172" s="105" t="n"/>
      <c r="AF172" s="22" t="n"/>
      <c r="AG172" s="105" t="n"/>
      <c r="AH172" s="105" t="n"/>
      <c r="AI172" s="105">
        <f>+AC172+AE172+AG172+AH172</f>
        <v/>
      </c>
      <c r="AJ172" s="105">
        <f>+AA172-AI172</f>
        <v/>
      </c>
      <c r="AK172" s="21">
        <f>IF(Q172="ANULADA","N/A",IF(ABS(AJ172)&gt;10,"Pendiente",IF(MAX(AB172,AD172,AF172)=0,"Pendiente",MAX(0,MAX(AB172,AD172,AF172)-O172))))</f>
        <v/>
      </c>
    </row>
    <row r="173" ht="14.25" customHeight="1">
      <c r="A173" s="22" t="inlineStr">
        <is>
          <t>00-530</t>
        </is>
      </c>
      <c r="B173" s="22" t="inlineStr">
        <is>
          <t>INFRAESTRUCTURA ECONOMICA Y SOCIAL</t>
        </is>
      </c>
      <c r="C173" s="22" t="inlineStr">
        <is>
          <t>Redes y Colectores Cloacales Alderetes - Tucumán</t>
        </is>
      </c>
      <c r="D173" s="13" t="n">
        <v>0</v>
      </c>
      <c r="E173" s="13" t="n">
        <v>33</v>
      </c>
      <c r="F173" s="13" t="inlineStr">
        <is>
          <t>Red Prov</t>
        </is>
      </c>
      <c r="G173" s="13" t="inlineStr">
        <is>
          <t>Redet.</t>
        </is>
      </c>
      <c r="H173" s="23" t="n">
        <v>46054</v>
      </c>
      <c r="I173" s="104" t="n"/>
      <c r="J173" s="105" t="n">
        <v>6266255.63</v>
      </c>
      <c r="K173" s="105" t="n">
        <v>6266255.63</v>
      </c>
      <c r="L173" s="13" t="n"/>
      <c r="M173" s="22" t="inlineStr">
        <is>
          <t>FC B</t>
        </is>
      </c>
      <c r="N173" s="24" t="n">
        <v>2017</v>
      </c>
      <c r="O173" s="106" t="n">
        <v>46098</v>
      </c>
      <c r="P173" s="22" t="inlineStr">
        <is>
          <t>Certificado de Redeterminación Provisoria Nº 33 - Feb'26. - Redes y Colectores Cloacales Alderetes - Tucumán (00530)</t>
        </is>
      </c>
      <c r="Q173" s="39" t="inlineStr">
        <is>
          <t>ANULADA</t>
        </is>
      </c>
      <c r="R173" s="22" t="n">
        <v>206</v>
      </c>
      <c r="S173" s="105" t="n">
        <v>0</v>
      </c>
      <c r="T173" s="105" t="n"/>
      <c r="U173" s="105" t="n">
        <v>0</v>
      </c>
      <c r="V173" s="105" t="n">
        <v>0</v>
      </c>
      <c r="W173" s="105" t="n">
        <v>0</v>
      </c>
      <c r="X173" s="105">
        <f>IF(A173="00-175",S173*0.06,0)</f>
        <v/>
      </c>
      <c r="Y173" s="105" t="n">
        <v>0</v>
      </c>
      <c r="Z173" s="105" t="n"/>
      <c r="AA173" s="105">
        <f>+S173+T173+U173+W173+X173</f>
        <v/>
      </c>
      <c r="AB173" s="22" t="n"/>
      <c r="AC173" s="105" t="n"/>
      <c r="AD173" s="22" t="n"/>
      <c r="AE173" s="105" t="n"/>
      <c r="AF173" s="22" t="n"/>
      <c r="AG173" s="105" t="n"/>
      <c r="AH173" s="105" t="n"/>
      <c r="AI173" s="105">
        <f>+AC173+AE173+AG173+AH173</f>
        <v/>
      </c>
      <c r="AJ173" s="105">
        <f>+AA173-AI173</f>
        <v/>
      </c>
      <c r="AK173" s="21">
        <f>IF(Q173="ANULADA","N/A",IF(ABS(AJ173)&gt;10,"Pendiente",IF(MAX(AB173,AD173,AF173)=0,"Pendiente",MAX(0,MAX(AB173,AD173,AF173)-O173))))</f>
        <v/>
      </c>
    </row>
    <row r="174" ht="15" customHeight="1">
      <c r="A174" s="22" t="inlineStr">
        <is>
          <t>00-530</t>
        </is>
      </c>
      <c r="B174" s="22" t="inlineStr">
        <is>
          <t>INFRAESTRUCTURA ECONOMICA Y SOCIAL</t>
        </is>
      </c>
      <c r="C174" s="22" t="inlineStr">
        <is>
          <t>Redes y Colectores Cloacales Alderetes - Tucumán</t>
        </is>
      </c>
      <c r="D174" s="13" t="n">
        <v>0</v>
      </c>
      <c r="E174" s="13" t="n">
        <v>34</v>
      </c>
      <c r="F174" s="13" t="inlineStr">
        <is>
          <t>Basico</t>
        </is>
      </c>
      <c r="G174" s="13" t="inlineStr">
        <is>
          <t>Básico</t>
        </is>
      </c>
      <c r="H174" s="23" t="n">
        <v>46082</v>
      </c>
      <c r="I174" s="104" t="n">
        <v>70336.004</v>
      </c>
      <c r="J174" s="105" t="n">
        <v>703360.04</v>
      </c>
      <c r="K174" s="105">
        <f>+J174-I174</f>
        <v/>
      </c>
      <c r="L174" s="13" t="n"/>
      <c r="M174" s="22" t="inlineStr">
        <is>
          <t>FC B</t>
        </is>
      </c>
      <c r="N174" s="24" t="n">
        <v>2018</v>
      </c>
      <c r="O174" s="106" t="n">
        <v>46122</v>
      </c>
      <c r="P174" s="22" t="inlineStr">
        <is>
          <t>Certificado Nº 34 - Mar'26.</t>
        </is>
      </c>
      <c r="Q174" s="39" t="inlineStr">
        <is>
          <t>ANULADA</t>
        </is>
      </c>
      <c r="R174" s="22" t="n">
        <v>208</v>
      </c>
      <c r="S174" s="105" t="n">
        <v>0</v>
      </c>
      <c r="T174" s="105" t="n"/>
      <c r="U174" s="105" t="n">
        <v>0</v>
      </c>
      <c r="V174" s="105" t="n">
        <v>0</v>
      </c>
      <c r="W174" s="105" t="n">
        <v>0</v>
      </c>
      <c r="X174" s="105">
        <f>IF(A174="00-175",S174*0.06,0)</f>
        <v/>
      </c>
      <c r="Y174" s="105" t="n">
        <v>0</v>
      </c>
      <c r="Z174" s="105" t="n"/>
      <c r="AA174" s="105">
        <f>+S174+T174+U174+W174+X174</f>
        <v/>
      </c>
      <c r="AB174" s="22" t="n"/>
      <c r="AC174" s="105" t="n"/>
      <c r="AD174" s="22" t="n"/>
      <c r="AE174" s="105" t="n"/>
      <c r="AF174" s="22" t="n"/>
      <c r="AG174" s="105" t="n"/>
      <c r="AH174" s="105" t="n"/>
      <c r="AI174" s="105">
        <f>+AC174+AE174+AG174+AH174</f>
        <v/>
      </c>
      <c r="AJ174" s="105">
        <f>+AA174-AI174</f>
        <v/>
      </c>
      <c r="AK174" s="21">
        <f>IF(Q174="ANULADA","N/A",IF(ABS(AJ174)&gt;10,"Pendiente",IF(MAX(AB174,AD174,AF174)=0,"Pendiente",MAX(0,MAX(AB174,AD174,AF174)-O174))))</f>
        <v/>
      </c>
    </row>
    <row r="175" ht="15" customHeight="1">
      <c r="A175" s="22" t="inlineStr">
        <is>
          <t>00-530</t>
        </is>
      </c>
      <c r="B175" s="22" t="inlineStr">
        <is>
          <t>INFRAESTRUCTURA ECONOMICA Y SOCIAL</t>
        </is>
      </c>
      <c r="C175" s="22" t="inlineStr">
        <is>
          <t>Redes y Colectores Cloacales Alderetes - Tucumán</t>
        </is>
      </c>
      <c r="D175" s="13" t="n">
        <v>0</v>
      </c>
      <c r="E175" s="13" t="n">
        <v>34</v>
      </c>
      <c r="F175" s="13" t="inlineStr">
        <is>
          <t>Red Prov</t>
        </is>
      </c>
      <c r="G175" s="13" t="inlineStr">
        <is>
          <t>Redet.</t>
        </is>
      </c>
      <c r="H175" s="23" t="n">
        <v>46082</v>
      </c>
      <c r="I175" s="104" t="n"/>
      <c r="J175" s="105" t="n">
        <v>19702240.1</v>
      </c>
      <c r="K175" s="105" t="n">
        <v>19702240.1</v>
      </c>
      <c r="L175" s="13" t="n"/>
      <c r="M175" s="22" t="inlineStr">
        <is>
          <t>FC B</t>
        </is>
      </c>
      <c r="N175" s="24" t="n">
        <v>2019</v>
      </c>
      <c r="O175" s="106" t="n">
        <v>46122</v>
      </c>
      <c r="P175" s="22" t="inlineStr">
        <is>
          <t>Certificado de Redeterminación Provisoria Nº 34 - Mar'26.</t>
        </is>
      </c>
      <c r="Q175" s="39" t="inlineStr">
        <is>
          <t>ANULADA</t>
        </is>
      </c>
      <c r="R175" s="22" t="n">
        <v>207</v>
      </c>
      <c r="S175" s="105" t="n">
        <v>0</v>
      </c>
      <c r="T175" s="105" t="n"/>
      <c r="U175" s="105" t="n">
        <v>0</v>
      </c>
      <c r="V175" s="105" t="n">
        <v>0</v>
      </c>
      <c r="W175" s="105" t="n">
        <v>0</v>
      </c>
      <c r="X175" s="105">
        <f>IF(A175="00-175",S175*0.06,0)</f>
        <v/>
      </c>
      <c r="Y175" s="105" t="n">
        <v>0</v>
      </c>
      <c r="Z175" s="105" t="n"/>
      <c r="AA175" s="105">
        <f>+S175+T175+U175+W175+X175</f>
        <v/>
      </c>
      <c r="AB175" s="22" t="n"/>
      <c r="AC175" s="105" t="n"/>
      <c r="AD175" s="22" t="n"/>
      <c r="AE175" s="105" t="n"/>
      <c r="AF175" s="22" t="n"/>
      <c r="AG175" s="105" t="n"/>
      <c r="AH175" s="105" t="n"/>
      <c r="AI175" s="105">
        <f>+AC175+AE175+AG175+AH175</f>
        <v/>
      </c>
      <c r="AJ175" s="105">
        <f>+AA175-AI175</f>
        <v/>
      </c>
      <c r="AK175" s="21">
        <f>IF(Q175="ANULADA","N/A",IF(ABS(AJ175)&gt;10,"Pendiente",IF(MAX(AB175,AD175,AF175)=0,"Pendiente",MAX(0,MAX(AB175,AD175,AF175)-O175))))</f>
        <v/>
      </c>
    </row>
    <row r="176" ht="15" customHeight="1">
      <c r="A176" s="22" t="inlineStr">
        <is>
          <t>00-530</t>
        </is>
      </c>
      <c r="B176" s="22" t="inlineStr">
        <is>
          <t>INFRAESTRUCTURA ECONOMICA Y SOCIAL</t>
        </is>
      </c>
      <c r="C176" s="22" t="inlineStr">
        <is>
          <t>Redes y Colectores Cloacales Alderetes - Tucumán</t>
        </is>
      </c>
      <c r="D176" s="13" t="n"/>
      <c r="E176" s="13" t="n"/>
      <c r="F176" s="13" t="n"/>
      <c r="G176" s="13" t="inlineStr">
        <is>
          <t>Redet.</t>
        </is>
      </c>
      <c r="H176" s="23" t="n">
        <v>46054</v>
      </c>
      <c r="I176" s="104" t="n"/>
      <c r="J176" s="105" t="n">
        <v>0</v>
      </c>
      <c r="K176" s="105" t="n">
        <v>0</v>
      </c>
      <c r="L176" s="13" t="n"/>
      <c r="M176" s="22" t="inlineStr">
        <is>
          <t>FC B</t>
        </is>
      </c>
      <c r="N176" s="24" t="n">
        <v>2020</v>
      </c>
      <c r="O176" s="106" t="n">
        <v>46122</v>
      </c>
      <c r="P176" s="22" t="inlineStr">
        <is>
          <t>Certificado de Redeterminación Definitiva Nº 33 - Feb'26.</t>
        </is>
      </c>
      <c r="Q176" s="39" t="inlineStr">
        <is>
          <t>ANULADA</t>
        </is>
      </c>
      <c r="R176" s="22" t="n">
        <v>192</v>
      </c>
      <c r="S176" s="105">
        <f>+J176</f>
        <v/>
      </c>
      <c r="T176" s="105" t="n"/>
      <c r="U176" s="105" t="n">
        <v>0</v>
      </c>
      <c r="V176" s="105" t="n">
        <v>0</v>
      </c>
      <c r="W176" s="105" t="n">
        <v>0</v>
      </c>
      <c r="X176" s="105">
        <f>IF(A176="00-175",S176*0.06,0)</f>
        <v/>
      </c>
      <c r="Y176" s="105" t="n">
        <v>0</v>
      </c>
      <c r="Z176" s="105" t="n"/>
      <c r="AA176" s="105">
        <f>+S176+T176+U176+W176+X176</f>
        <v/>
      </c>
      <c r="AB176" s="22" t="n"/>
      <c r="AC176" s="105" t="n"/>
      <c r="AD176" s="22" t="n"/>
      <c r="AE176" s="105" t="n"/>
      <c r="AF176" s="22" t="n"/>
      <c r="AG176" s="105" t="n"/>
      <c r="AH176" s="105" t="n"/>
      <c r="AI176" s="105">
        <f>+AC176+AE176+AG176+AH176</f>
        <v/>
      </c>
      <c r="AJ176" s="105">
        <f>+AA176-AI176</f>
        <v/>
      </c>
      <c r="AK176" s="21">
        <f>IF(Q176="ANULADA","N/A",IF(ABS(AJ176)&gt;10,"Pendiente",IF(MAX(AB176,AD176,AF176)=0,"Pendiente",MAX(0,MAX(AB176,AD176,AF176)-O176))))</f>
        <v/>
      </c>
    </row>
    <row r="177" ht="15" customHeight="1">
      <c r="A177" s="22" t="inlineStr">
        <is>
          <t>00-530</t>
        </is>
      </c>
      <c r="B177" s="22" t="inlineStr">
        <is>
          <t>INFRAESTRUCTURA ECONOMICA Y SOCIAL</t>
        </is>
      </c>
      <c r="C177" s="22" t="inlineStr">
        <is>
          <t>Redes y Colectores Cloacales Alderetes - Tucumán</t>
        </is>
      </c>
      <c r="D177" s="13" t="n">
        <v>0</v>
      </c>
      <c r="E177" s="13" t="n">
        <v>33</v>
      </c>
      <c r="F177" s="13" t="inlineStr">
        <is>
          <t>Red Def</t>
        </is>
      </c>
      <c r="G177" s="13" t="inlineStr">
        <is>
          <t>Redet.</t>
        </is>
      </c>
      <c r="H177" s="23" t="n">
        <v>46082</v>
      </c>
      <c r="I177" s="104" t="n"/>
      <c r="J177" s="105" t="n">
        <v>95946.87</v>
      </c>
      <c r="K177" s="105" t="n">
        <v>95946.87</v>
      </c>
      <c r="L177" s="13" t="inlineStr">
        <is>
          <t>Validado</t>
        </is>
      </c>
      <c r="M177" s="22" t="inlineStr">
        <is>
          <t>FC B</t>
        </is>
      </c>
      <c r="N177" s="24" t="n">
        <v>2021</v>
      </c>
      <c r="O177" s="106" t="n">
        <v>46122</v>
      </c>
      <c r="P177" s="22" t="inlineStr">
        <is>
          <t>Certificado de Redeterminación Definitiva Nº 33 - Feb'26.</t>
        </is>
      </c>
      <c r="Q177" s="22" t="inlineStr">
        <is>
          <t>NO</t>
        </is>
      </c>
      <c r="R177" s="22" t="inlineStr">
        <is>
          <t>N/A</t>
        </is>
      </c>
      <c r="S177" s="105">
        <f>+J177</f>
        <v/>
      </c>
      <c r="T177" s="105" t="n"/>
      <c r="U177" s="105" t="n">
        <v>0</v>
      </c>
      <c r="V177" s="105" t="n">
        <v>0</v>
      </c>
      <c r="W177" s="105" t="n">
        <v>0</v>
      </c>
      <c r="X177" s="105">
        <f>IF(A177="00-175",S177*0.06,0)</f>
        <v/>
      </c>
      <c r="Y177" s="105" t="n">
        <v>0</v>
      </c>
      <c r="Z177" s="105" t="n"/>
      <c r="AA177" s="105">
        <f>+S177+T177+U177+W177+X177</f>
        <v/>
      </c>
      <c r="AB177" s="22" t="n"/>
      <c r="AC177" s="105" t="n"/>
      <c r="AD177" s="22" t="n"/>
      <c r="AE177" s="105" t="n"/>
      <c r="AF177" s="22" t="n"/>
      <c r="AG177" s="105" t="n"/>
      <c r="AH177" s="105" t="n"/>
      <c r="AI177" s="105">
        <f>+AC177+AE177+AG177+AH177</f>
        <v/>
      </c>
      <c r="AJ177" s="105">
        <f>+AA177-AI177</f>
        <v/>
      </c>
      <c r="AK177" s="21">
        <f>IF(Q177="ANULADA","N/A",IF(ABS(AJ177)&gt;10,"Pendiente",IF(MAX(AB177,AD177,AF177)=0,"Pendiente",MAX(0,MAX(AB177,AD177,AF177)-O177))))</f>
        <v/>
      </c>
    </row>
    <row r="178" ht="15" customHeight="1">
      <c r="A178" s="22" t="inlineStr">
        <is>
          <t>00-530</t>
        </is>
      </c>
      <c r="B178" s="22" t="inlineStr">
        <is>
          <t>INFRAESTRUCTURA ECONOMICA Y SOCIAL</t>
        </is>
      </c>
      <c r="C178" s="22" t="inlineStr">
        <is>
          <t>Redes y Colectores Cloacales Alderetes - Tucumán</t>
        </is>
      </c>
      <c r="D178" s="13" t="n"/>
      <c r="E178" s="13" t="n"/>
      <c r="F178" s="13" t="n"/>
      <c r="G178" s="13" t="inlineStr">
        <is>
          <t>Básico</t>
        </is>
      </c>
      <c r="H178" s="23" t="n">
        <v>46023</v>
      </c>
      <c r="I178" s="104" t="n"/>
      <c r="J178" s="105" t="n">
        <v>0</v>
      </c>
      <c r="K178" s="105" t="n">
        <v>0</v>
      </c>
      <c r="L178" s="13" t="n"/>
      <c r="M178" s="22" t="inlineStr">
        <is>
          <t>FC B</t>
        </is>
      </c>
      <c r="N178" s="24" t="n">
        <v>2022</v>
      </c>
      <c r="O178" s="106" t="n">
        <v>46141</v>
      </c>
      <c r="P178" s="22" t="inlineStr">
        <is>
          <t>Certificado Nº 32 - Ene'26. - Redes y Colectores Cloacales Alderetes - Tucumán (00530)</t>
        </is>
      </c>
      <c r="Q178" s="39" t="inlineStr">
        <is>
          <t>ANULADA</t>
        </is>
      </c>
      <c r="R178" s="22" t="n">
        <v>201</v>
      </c>
      <c r="S178" s="105" t="n">
        <v>0</v>
      </c>
      <c r="T178" s="105" t="n"/>
      <c r="U178" s="105" t="n">
        <v>0</v>
      </c>
      <c r="V178" s="105" t="n">
        <v>0</v>
      </c>
      <c r="W178" s="105" t="n">
        <v>0</v>
      </c>
      <c r="X178" s="105">
        <f>IF(A178="00-175",S178*0.06,0)</f>
        <v/>
      </c>
      <c r="Y178" s="105" t="n">
        <v>0</v>
      </c>
      <c r="Z178" s="105" t="n"/>
      <c r="AA178" s="105">
        <f>+S178+T178+U178+W178+X178</f>
        <v/>
      </c>
      <c r="AB178" s="22" t="n"/>
      <c r="AC178" s="105" t="n"/>
      <c r="AD178" s="22" t="n"/>
      <c r="AE178" s="105" t="n"/>
      <c r="AF178" s="22" t="n"/>
      <c r="AG178" s="105" t="n"/>
      <c r="AH178" s="105" t="n"/>
      <c r="AI178" s="105">
        <f>+AC178+AE178+AG178+AH178</f>
        <v/>
      </c>
      <c r="AJ178" s="105">
        <f>+AA178-AI178</f>
        <v/>
      </c>
      <c r="AK178" s="21">
        <f>IF(Q178="ANULADA","N/A",IF(ABS(AJ178)&gt;10,"Pendiente",IF(MAX(AB178,AD178,AF178)=0,"Pendiente",MAX(0,MAX(AB178,AD178,AF178)-O178))))</f>
        <v/>
      </c>
    </row>
    <row r="179" ht="15" customHeight="1">
      <c r="A179" s="22" t="inlineStr">
        <is>
          <t>00-530</t>
        </is>
      </c>
      <c r="B179" s="22" t="inlineStr">
        <is>
          <t>INFRAESTRUCTURA ECONOMICA Y SOCIAL</t>
        </is>
      </c>
      <c r="C179" s="22" t="inlineStr">
        <is>
          <t>Redes y Colectores Cloacales Alderetes - Tucumán</t>
        </is>
      </c>
      <c r="D179" s="13" t="n"/>
      <c r="E179" s="13" t="n"/>
      <c r="F179" s="13" t="n"/>
      <c r="G179" s="13" t="inlineStr">
        <is>
          <t>Redet.</t>
        </is>
      </c>
      <c r="H179" s="23" t="n">
        <v>46023</v>
      </c>
      <c r="I179" s="104" t="n"/>
      <c r="J179" s="105" t="n">
        <v>0</v>
      </c>
      <c r="K179" s="105" t="n">
        <v>0</v>
      </c>
      <c r="L179" s="13" t="n"/>
      <c r="M179" s="22" t="inlineStr">
        <is>
          <t>FC B</t>
        </is>
      </c>
      <c r="N179" s="24" t="n">
        <v>2023</v>
      </c>
      <c r="O179" s="106" t="n">
        <v>46142</v>
      </c>
      <c r="P179" s="22" t="inlineStr">
        <is>
          <t>Certificado de Redeterminación Provisoria Nº 32 - Ene'26. - Redes y Colectores Cloacales Alderetes - Tucumán (00530)</t>
        </is>
      </c>
      <c r="Q179" s="39" t="inlineStr">
        <is>
          <t>ANULADA</t>
        </is>
      </c>
      <c r="R179" s="22" t="n">
        <v>203</v>
      </c>
      <c r="S179" s="105">
        <f>+J179</f>
        <v/>
      </c>
      <c r="T179" s="105" t="n"/>
      <c r="U179" s="105" t="n">
        <v>0</v>
      </c>
      <c r="V179" s="105" t="n">
        <v>0</v>
      </c>
      <c r="W179" s="105">
        <f>IF(A179="00-175",U179*0.003,U179*0.025)</f>
        <v/>
      </c>
      <c r="X179" s="105">
        <f>IF(A179="00-175",U179*0.06,0)</f>
        <v/>
      </c>
      <c r="Y179" s="105" t="n">
        <v>0</v>
      </c>
      <c r="Z179" s="105" t="n"/>
      <c r="AA179" s="105">
        <f>+S179+T179+U179+W179+X179+V179+Y179</f>
        <v/>
      </c>
      <c r="AB179" s="22" t="n"/>
      <c r="AC179" s="105" t="n"/>
      <c r="AD179" s="22" t="n"/>
      <c r="AE179" s="105" t="n"/>
      <c r="AF179" s="22" t="n"/>
      <c r="AG179" s="105" t="n"/>
      <c r="AH179" s="105" t="n"/>
      <c r="AI179" s="105">
        <f>+AC179+AE179+AG179+AH179</f>
        <v/>
      </c>
      <c r="AJ179" s="105">
        <f>+AA179-AI179</f>
        <v/>
      </c>
      <c r="AK179" s="21">
        <f>IF(Q179="ANULADA","N/A",IF(ABS(AJ179)&gt;10,"Pendiente",IF(MAX(AB179,AD179,AF179)=0,"Pendiente",MAX(0,MAX(AB179,AD179,AF179)-O179))))</f>
        <v/>
      </c>
    </row>
    <row r="180" ht="15" customHeight="1">
      <c r="A180" s="22" t="inlineStr">
        <is>
          <t>00-530</t>
        </is>
      </c>
      <c r="B180" s="22" t="inlineStr">
        <is>
          <t>INFRAESTRUCTURA ECONOMICA Y SOCIAL</t>
        </is>
      </c>
      <c r="C180" s="22" t="inlineStr">
        <is>
          <t>Redes y Colectores Cloacales Alderetes - Tucumán</t>
        </is>
      </c>
      <c r="D180" s="13" t="n">
        <v>0</v>
      </c>
      <c r="E180" s="13" t="n">
        <v>32</v>
      </c>
      <c r="F180" s="13" t="inlineStr">
        <is>
          <t>Basico</t>
        </is>
      </c>
      <c r="G180" s="13" t="inlineStr">
        <is>
          <t>Básico</t>
        </is>
      </c>
      <c r="H180" s="23" t="n">
        <v>46023</v>
      </c>
      <c r="I180" s="104" t="n">
        <v>11963055.32</v>
      </c>
      <c r="J180" s="105" t="n">
        <v>131593300.43</v>
      </c>
      <c r="K180" s="105" t="n">
        <v>131593300.43</v>
      </c>
      <c r="L180" s="13" t="inlineStr">
        <is>
          <t>Validado</t>
        </is>
      </c>
      <c r="M180" s="22" t="inlineStr">
        <is>
          <t>FC B</t>
        </is>
      </c>
      <c r="N180" s="24" t="n">
        <v>2024</v>
      </c>
      <c r="O180" s="106" t="n">
        <v>46142</v>
      </c>
      <c r="P180" s="22" t="inlineStr">
        <is>
          <t>Certificado Nº 32 - Ene'26</t>
        </is>
      </c>
      <c r="Q180" s="22" t="inlineStr">
        <is>
          <t>NO</t>
        </is>
      </c>
      <c r="R180" s="22" t="inlineStr">
        <is>
          <t>N/A</t>
        </is>
      </c>
      <c r="S180" s="105">
        <f>+J180</f>
        <v/>
      </c>
      <c r="T180" s="105" t="n"/>
      <c r="U180" s="105" t="n"/>
      <c r="V180" s="105" t="n"/>
      <c r="W180" s="105" t="n"/>
      <c r="X180" s="105" t="n"/>
      <c r="Y180" s="105" t="n"/>
      <c r="Z180" s="105" t="n"/>
      <c r="AA180" s="105">
        <f>+S180+T180+U180+W180+X180+V180+Y180</f>
        <v/>
      </c>
      <c r="AB180" s="22" t="n"/>
      <c r="AC180" s="105" t="n"/>
      <c r="AD180" s="22" t="n"/>
      <c r="AE180" s="105" t="n"/>
      <c r="AF180" s="22" t="n"/>
      <c r="AG180" s="105" t="n"/>
      <c r="AH180" s="105" t="n"/>
      <c r="AI180" s="105">
        <f>+AC180+AE180+AG180+AH180</f>
        <v/>
      </c>
      <c r="AJ180" s="105">
        <f>+AA180-AI180</f>
        <v/>
      </c>
      <c r="AK180" s="21">
        <f>IF(Q180="ANULADA","N/A",IF(ABS(AJ180)&gt;10,"Pendiente",IF(MAX(AB180,AD180,AF180)=0,"Pendiente",MAX(0,MAX(AB180,AD180,AF180)-O180))))</f>
        <v/>
      </c>
    </row>
    <row r="181" ht="15" customHeight="1">
      <c r="A181" s="22" t="inlineStr">
        <is>
          <t>00-530</t>
        </is>
      </c>
      <c r="B181" s="22" t="inlineStr">
        <is>
          <t>INFRAESTRUCTURA ECONOMICA Y SOCIAL</t>
        </is>
      </c>
      <c r="C181" s="22" t="inlineStr">
        <is>
          <t>Redes y Colectores Cloacales Alderetes - Tucumán</t>
        </is>
      </c>
      <c r="D181" s="13" t="n"/>
      <c r="E181" s="13" t="n"/>
      <c r="F181" s="13" t="n"/>
      <c r="G181" s="13" t="inlineStr">
        <is>
          <t>Redet.</t>
        </is>
      </c>
      <c r="H181" s="23" t="n">
        <v>46023</v>
      </c>
      <c r="I181" s="104" t="n"/>
      <c r="J181" s="105" t="n">
        <v>0</v>
      </c>
      <c r="K181" s="105" t="n">
        <v>0</v>
      </c>
      <c r="L181" s="13" t="n"/>
      <c r="M181" s="22" t="inlineStr">
        <is>
          <t>FC B</t>
        </is>
      </c>
      <c r="N181" s="24" t="n">
        <v>2025</v>
      </c>
      <c r="O181" s="106" t="n">
        <v>46142</v>
      </c>
      <c r="P181" s="22" t="inlineStr">
        <is>
          <t>Certificado de Redeterminación Definitiva Nº 32 - Ene'26</t>
        </is>
      </c>
      <c r="Q181" s="39" t="inlineStr">
        <is>
          <t>ANULADA</t>
        </is>
      </c>
      <c r="R181" s="22" t="n">
        <v>204</v>
      </c>
      <c r="S181" s="105" t="n">
        <v>0</v>
      </c>
      <c r="T181" s="105" t="n"/>
      <c r="U181" s="105" t="n">
        <v>0</v>
      </c>
      <c r="V181" s="105" t="n">
        <v>0</v>
      </c>
      <c r="W181" s="105" t="n">
        <v>0</v>
      </c>
      <c r="X181" s="105">
        <f>IF(A181="00-175",S181*0.06,0)</f>
        <v/>
      </c>
      <c r="Y181" s="105" t="n">
        <v>0</v>
      </c>
      <c r="Z181" s="105" t="n"/>
      <c r="AA181" s="105">
        <f>+S181+T181+U181+W181+X181+V181+Y181</f>
        <v/>
      </c>
      <c r="AB181" s="22" t="n"/>
      <c r="AC181" s="105" t="n"/>
      <c r="AD181" s="22" t="n"/>
      <c r="AE181" s="105" t="n"/>
      <c r="AF181" s="22" t="n"/>
      <c r="AG181" s="105" t="n"/>
      <c r="AH181" s="105" t="n"/>
      <c r="AI181" s="105">
        <f>+AC181+AE181+AG181+AH181</f>
        <v/>
      </c>
      <c r="AJ181" s="105">
        <f>+AA181-AI181</f>
        <v/>
      </c>
      <c r="AK181" s="21">
        <f>IF(Q181="ANULADA","N/A",IF(ABS(AJ181)&gt;10,"Pendiente",IF(MAX(AB181,AD181,AF181)=0,"Pendiente",MAX(0,MAX(AB181,AD181,AF181)-O181))))</f>
        <v/>
      </c>
    </row>
    <row r="182" ht="15" customHeight="1">
      <c r="A182" s="22" t="inlineStr">
        <is>
          <t>00-530</t>
        </is>
      </c>
      <c r="B182" s="22" t="inlineStr">
        <is>
          <t>INFRAESTRUCTURA ECONOMICA Y SOCIAL</t>
        </is>
      </c>
      <c r="C182" s="22" t="inlineStr">
        <is>
          <t>Redes y Colectores Cloacales Alderetes - Tucumán</t>
        </is>
      </c>
      <c r="D182" s="13" t="n">
        <v>0</v>
      </c>
      <c r="E182" s="13" t="n">
        <v>32</v>
      </c>
      <c r="F182" s="13" t="inlineStr">
        <is>
          <t>Red Def</t>
        </is>
      </c>
      <c r="G182" s="13" t="inlineStr">
        <is>
          <t>Redet.</t>
        </is>
      </c>
      <c r="H182" s="23" t="n">
        <v>46023</v>
      </c>
      <c r="I182" s="104" t="n"/>
      <c r="J182" s="105" t="n">
        <v>4058424310.87</v>
      </c>
      <c r="K182" s="105" t="n">
        <v>4058424310.87</v>
      </c>
      <c r="L182" s="13" t="inlineStr">
        <is>
          <t>Validado</t>
        </is>
      </c>
      <c r="M182" s="22" t="inlineStr">
        <is>
          <t>FC B</t>
        </is>
      </c>
      <c r="N182" s="24" t="n">
        <v>2026</v>
      </c>
      <c r="O182" s="106" t="n">
        <v>46142</v>
      </c>
      <c r="P182" s="22" t="inlineStr">
        <is>
          <t>Certificado de Redeterminación Definitiva Nº 32 - Ene'26</t>
        </is>
      </c>
      <c r="Q182" s="22" t="inlineStr">
        <is>
          <t>NO</t>
        </is>
      </c>
      <c r="R182" s="22" t="inlineStr">
        <is>
          <t>N/A</t>
        </is>
      </c>
      <c r="S182" s="105">
        <f>+J182</f>
        <v/>
      </c>
      <c r="T182" s="105" t="n"/>
      <c r="U182" s="105" t="n"/>
      <c r="V182" s="105" t="n"/>
      <c r="W182" s="105" t="n"/>
      <c r="X182" s="105" t="n"/>
      <c r="Y182" s="105" t="n"/>
      <c r="Z182" s="105" t="n"/>
      <c r="AA182" s="105">
        <f>+S182+T182+U182+W182+X182+V182+Y182</f>
        <v/>
      </c>
      <c r="AB182" s="22" t="n"/>
      <c r="AC182" s="105" t="n"/>
      <c r="AD182" s="22" t="n"/>
      <c r="AE182" s="105" t="n"/>
      <c r="AF182" s="22" t="n"/>
      <c r="AG182" s="105" t="n"/>
      <c r="AH182" s="105" t="n"/>
      <c r="AI182" s="105">
        <f>+AC182+AE182+AG182+AH182</f>
        <v/>
      </c>
      <c r="AJ182" s="105">
        <f>+AA182-AI182</f>
        <v/>
      </c>
      <c r="AK182" s="21">
        <f>IF(Q182="ANULADA","N/A",IF(ABS(AJ182)&gt;10,"Pendiente",IF(MAX(AB182,AD182,AF182)=0,"Pendiente",MAX(0,MAX(AB182,AD182,AF182)-O182))))</f>
        <v/>
      </c>
    </row>
    <row r="183" ht="15" customHeight="1">
      <c r="A183" s="22" t="inlineStr">
        <is>
          <t>00-530</t>
        </is>
      </c>
      <c r="B183" s="22" t="inlineStr">
        <is>
          <t>INFRAESTRUCTURA ECONOMICA Y SOCIAL</t>
        </is>
      </c>
      <c r="C183" s="22" t="inlineStr">
        <is>
          <t>Redes y Colectores Cloacales Alderetes - Tucumán</t>
        </is>
      </c>
      <c r="D183" s="13" t="n">
        <v>0</v>
      </c>
      <c r="E183" s="13" t="n">
        <v>33</v>
      </c>
      <c r="F183" s="13" t="inlineStr">
        <is>
          <t>Basico</t>
        </is>
      </c>
      <c r="G183" s="13" t="inlineStr">
        <is>
          <t>Básico</t>
        </is>
      </c>
      <c r="H183" s="23" t="n">
        <v>46054</v>
      </c>
      <c r="I183" s="104" t="n">
        <v>18813.15</v>
      </c>
      <c r="J183" s="105" t="n">
        <v>206944.17</v>
      </c>
      <c r="K183" s="105">
        <f>+J183-I183</f>
        <v/>
      </c>
      <c r="L183" s="13" t="n"/>
      <c r="M183" s="22" t="inlineStr">
        <is>
          <t>FC B</t>
        </is>
      </c>
      <c r="N183" s="24" t="n">
        <v>2027</v>
      </c>
      <c r="O183" s="106" t="n">
        <v>46157</v>
      </c>
      <c r="P183" s="22" t="inlineStr">
        <is>
          <t>Certificado Nº 33 - Feb'26 / Anticipo Financiero (8,33%)</t>
        </is>
      </c>
      <c r="Q183" s="39" t="inlineStr">
        <is>
          <t>ANULADA</t>
        </is>
      </c>
      <c r="R183" s="22" t="n">
        <v>209</v>
      </c>
      <c r="S183" s="105" t="n">
        <v>0</v>
      </c>
      <c r="T183" s="105" t="n">
        <v>0</v>
      </c>
      <c r="U183" s="105" t="n">
        <v>0</v>
      </c>
      <c r="V183" s="105" t="n">
        <v>0</v>
      </c>
      <c r="W183" s="105" t="n">
        <v>0</v>
      </c>
      <c r="X183" s="105" t="n">
        <v>0</v>
      </c>
      <c r="Y183" s="105" t="n">
        <v>0</v>
      </c>
      <c r="Z183" s="105" t="n">
        <v>0</v>
      </c>
      <c r="AA183" s="105">
        <f>+S183+T183+U183+W183+X183+V183+Y183</f>
        <v/>
      </c>
      <c r="AB183" s="22" t="n"/>
      <c r="AC183" s="105" t="n"/>
      <c r="AD183" s="22" t="n"/>
      <c r="AE183" s="105" t="n"/>
      <c r="AF183" s="22" t="n"/>
      <c r="AG183" s="105" t="n"/>
      <c r="AH183" s="105" t="n"/>
      <c r="AI183" s="105">
        <f>+AC183+AE183+AG183+AH183</f>
        <v/>
      </c>
      <c r="AJ183" s="105">
        <f>+AA183-AI183</f>
        <v/>
      </c>
      <c r="AK183" s="21">
        <f>IF(Q183="ANULADA","N/A",IF(ABS(AJ183)&gt;10,"Pendiente",IF(MAX(AB183,AD183,AF183)=0,"Pendiente",MAX(0,MAX(AB183,AD183,AF183)-O183))))</f>
        <v/>
      </c>
    </row>
    <row r="184" ht="15" customHeight="1">
      <c r="A184" s="22" t="inlineStr">
        <is>
          <t>00-530</t>
        </is>
      </c>
      <c r="B184" s="22" t="inlineStr">
        <is>
          <t>INFRAESTRUCTURA ECONOMICA Y SOCIAL</t>
        </is>
      </c>
      <c r="C184" s="22" t="inlineStr">
        <is>
          <t>Redes y Colectores Cloacales Alderetes - Tucumán</t>
        </is>
      </c>
      <c r="D184" s="13" t="n">
        <v>0</v>
      </c>
      <c r="E184" s="13" t="n">
        <v>33</v>
      </c>
      <c r="F184" s="13" t="inlineStr">
        <is>
          <t>Red Def</t>
        </is>
      </c>
      <c r="G184" s="13" t="inlineStr">
        <is>
          <t>Redet.</t>
        </is>
      </c>
      <c r="H184" s="23" t="n">
        <v>46054</v>
      </c>
      <c r="I184" s="104" t="n"/>
      <c r="J184" s="105" t="n">
        <v>6440924.07</v>
      </c>
      <c r="K184" s="105" t="n">
        <v>6440924.07</v>
      </c>
      <c r="L184" s="13" t="inlineStr">
        <is>
          <t>Validado</t>
        </is>
      </c>
      <c r="M184" s="22" t="inlineStr">
        <is>
          <t>FC B</t>
        </is>
      </c>
      <c r="N184" s="24" t="n">
        <v>2028</v>
      </c>
      <c r="O184" s="106" t="n">
        <v>46157</v>
      </c>
      <c r="P184" s="22" t="inlineStr">
        <is>
          <t>Certificado de Redeterminación Definitiva Nº 33 - Feb'26</t>
        </is>
      </c>
      <c r="Q184" s="22" t="inlineStr">
        <is>
          <t>NO</t>
        </is>
      </c>
      <c r="R184" s="22" t="inlineStr">
        <is>
          <t>N/A</t>
        </is>
      </c>
      <c r="S184" s="105" t="n">
        <v>6440924.07</v>
      </c>
      <c r="T184" s="105" t="n">
        <v>0</v>
      </c>
      <c r="U184" s="105" t="n">
        <v>0</v>
      </c>
      <c r="V184" s="105" t="n">
        <v>0</v>
      </c>
      <c r="W184" s="105" t="n">
        <v>0</v>
      </c>
      <c r="X184" s="105" t="n">
        <v>0</v>
      </c>
      <c r="Y184" s="105" t="n">
        <v>0</v>
      </c>
      <c r="Z184" s="105" t="n">
        <v>0</v>
      </c>
      <c r="AA184" s="105">
        <f>+S184+T184+U184+W184+X184+V184+Y184</f>
        <v/>
      </c>
      <c r="AB184" s="22" t="n"/>
      <c r="AC184" s="105" t="n"/>
      <c r="AD184" s="22" t="n"/>
      <c r="AE184" s="105" t="n"/>
      <c r="AF184" s="22" t="n"/>
      <c r="AG184" s="105" t="n"/>
      <c r="AH184" s="105" t="n"/>
      <c r="AI184" s="105">
        <f>+AC184+AE184+AG184+AH184</f>
        <v/>
      </c>
      <c r="AJ184" s="105">
        <f>+AA184-AI184</f>
        <v/>
      </c>
      <c r="AK184" s="21">
        <f>IF(Q184="ANULADA","N/A",IF(ABS(AJ184)&gt;10,"Pendiente",IF(MAX(AB184,AD184,AF184)=0,"Pendiente",MAX(0,MAX(AB184,AD184,AF184)-O184))))</f>
        <v/>
      </c>
    </row>
    <row r="185" ht="15" customHeight="1">
      <c r="A185" s="22" t="inlineStr">
        <is>
          <t>00-530</t>
        </is>
      </c>
      <c r="B185" s="22" t="inlineStr">
        <is>
          <t>INFRAESTRUCTURA ECONOMICA Y SOCIAL</t>
        </is>
      </c>
      <c r="C185" s="22" t="inlineStr">
        <is>
          <t>Redes y Colectores Cloacales Alderetes - Tucumán</t>
        </is>
      </c>
      <c r="D185" s="13" t="n">
        <v>0</v>
      </c>
      <c r="E185" s="13" t="n">
        <v>34</v>
      </c>
      <c r="F185" s="13" t="inlineStr">
        <is>
          <t>Basico</t>
        </is>
      </c>
      <c r="G185" s="13" t="inlineStr">
        <is>
          <t>Básico</t>
        </is>
      </c>
      <c r="H185" s="23" t="n">
        <v>46082</v>
      </c>
      <c r="I185" s="104" t="n"/>
      <c r="J185" s="105" t="n">
        <v>644746.58</v>
      </c>
      <c r="K185" s="105" t="n">
        <v>644746.58</v>
      </c>
      <c r="L185" s="13" t="inlineStr">
        <is>
          <t>Validado</t>
        </is>
      </c>
      <c r="M185" s="22" t="inlineStr">
        <is>
          <t>FC B</t>
        </is>
      </c>
      <c r="N185" s="24" t="n">
        <v>2029</v>
      </c>
      <c r="O185" s="106" t="n">
        <v>46157</v>
      </c>
      <c r="P185" s="22" t="inlineStr">
        <is>
          <t>Certificado Nº 34 - Mar'26 / Anticipo Financiero (8,33%)</t>
        </is>
      </c>
      <c r="Q185" s="22" t="inlineStr">
        <is>
          <t>NO</t>
        </is>
      </c>
      <c r="R185" s="22" t="inlineStr">
        <is>
          <t>N/A</t>
        </is>
      </c>
      <c r="S185" s="105" t="n">
        <v>644746.58</v>
      </c>
      <c r="T185" s="105" t="n">
        <v>0</v>
      </c>
      <c r="U185" s="105" t="n">
        <v>0</v>
      </c>
      <c r="V185" s="105" t="n">
        <v>0</v>
      </c>
      <c r="W185" s="105" t="n">
        <v>0</v>
      </c>
      <c r="X185" s="105" t="n">
        <v>0</v>
      </c>
      <c r="Y185" s="105" t="n">
        <v>0</v>
      </c>
      <c r="Z185" s="105" t="n">
        <v>0</v>
      </c>
      <c r="AA185" s="105">
        <f>+S185+T185+U185+W185+X185+V185+Y185</f>
        <v/>
      </c>
      <c r="AB185" s="22" t="n"/>
      <c r="AC185" s="105" t="n"/>
      <c r="AD185" s="22" t="n"/>
      <c r="AE185" s="105" t="n"/>
      <c r="AF185" s="22" t="n"/>
      <c r="AG185" s="105" t="n"/>
      <c r="AH185" s="105" t="n"/>
      <c r="AI185" s="105">
        <f>+AC185+AE185+AG185+AH185</f>
        <v/>
      </c>
      <c r="AJ185" s="105">
        <f>+AA185-AI185</f>
        <v/>
      </c>
      <c r="AK185" s="21">
        <f>IF(Q185="ANULADA","N/A",IF(ABS(AJ185)&gt;10,"Pendiente",IF(MAX(AB185,AD185,AF185)=0,"Pendiente",MAX(0,MAX(AB185,AD185,AF185)-O185))))</f>
        <v/>
      </c>
    </row>
    <row r="186" ht="15" customHeight="1">
      <c r="A186" s="22" t="inlineStr">
        <is>
          <t>00-530</t>
        </is>
      </c>
      <c r="B186" s="22" t="inlineStr">
        <is>
          <t>INFRAESTRUCTURA ECONOMICA Y SOCIAL</t>
        </is>
      </c>
      <c r="C186" s="22" t="inlineStr">
        <is>
          <t>Redes y Colectores Cloacales Alderetes - Tucumán</t>
        </is>
      </c>
      <c r="D186" s="13" t="n">
        <v>0</v>
      </c>
      <c r="E186" s="13" t="n">
        <v>34</v>
      </c>
      <c r="F186" s="13" t="inlineStr">
        <is>
          <t>Red Def</t>
        </is>
      </c>
      <c r="G186" s="13" t="inlineStr">
        <is>
          <t>Redet.</t>
        </is>
      </c>
      <c r="H186" s="23" t="n">
        <v>46082</v>
      </c>
      <c r="I186" s="104" t="n"/>
      <c r="J186" s="105" t="n">
        <v>20536636.11</v>
      </c>
      <c r="K186" s="105" t="n">
        <v>20536636.11</v>
      </c>
      <c r="L186" s="13" t="inlineStr">
        <is>
          <t>Validado</t>
        </is>
      </c>
      <c r="M186" s="22" t="inlineStr">
        <is>
          <t>FC B</t>
        </is>
      </c>
      <c r="N186" s="24" t="n">
        <v>2030</v>
      </c>
      <c r="O186" s="106" t="n">
        <v>46157</v>
      </c>
      <c r="P186" s="22" t="inlineStr">
        <is>
          <t>Certificado de Redeterminación Definitiva Nº 34 - Mar'26</t>
        </is>
      </c>
      <c r="Q186" s="39" t="inlineStr">
        <is>
          <t>NO</t>
        </is>
      </c>
      <c r="R186" s="22" t="inlineStr">
        <is>
          <t>N/A</t>
        </is>
      </c>
      <c r="S186" s="105" t="n">
        <v>20536636.11</v>
      </c>
      <c r="T186" s="105" t="n">
        <v>0</v>
      </c>
      <c r="U186" s="105" t="n">
        <v>0</v>
      </c>
      <c r="V186" s="105" t="n">
        <v>0</v>
      </c>
      <c r="W186" s="105" t="n">
        <v>0</v>
      </c>
      <c r="X186" s="105" t="n">
        <v>0</v>
      </c>
      <c r="Y186" s="105" t="n">
        <v>0</v>
      </c>
      <c r="Z186" s="105" t="n">
        <v>0</v>
      </c>
      <c r="AA186" s="105">
        <f>+S186+T186+U186+W186+X186+V186+Y186</f>
        <v/>
      </c>
      <c r="AB186" s="22" t="n"/>
      <c r="AC186" s="105" t="n"/>
      <c r="AD186" s="22" t="n"/>
      <c r="AE186" s="105" t="n"/>
      <c r="AF186" s="22" t="n"/>
      <c r="AG186" s="105" t="n"/>
      <c r="AH186" s="105" t="n"/>
      <c r="AI186" s="105">
        <f>+AC186+AE186+AG186+AH186</f>
        <v/>
      </c>
      <c r="AJ186" s="105">
        <f>+AA186-AI186</f>
        <v/>
      </c>
      <c r="AK186" s="21">
        <f>IF(Q186="ANULADA","N/A",IF(ABS(AJ186)&gt;10,"Pendiente",IF(MAX(AB186,AD186,AF186)=0,"Pendiente",MAX(0,MAX(AB186,AD186,AF186)-O186))))</f>
        <v/>
      </c>
    </row>
    <row r="187" ht="15" customHeight="1">
      <c r="A187" s="22" t="inlineStr">
        <is>
          <t>00-530</t>
        </is>
      </c>
      <c r="B187" s="22" t="inlineStr">
        <is>
          <t>INFRAESTRUCTURA ECONOMICA Y SOCIAL</t>
        </is>
      </c>
      <c r="C187" s="22" t="inlineStr">
        <is>
          <t>Redes y Colectores Cloacales Alderetes - Tucumán</t>
        </is>
      </c>
      <c r="D187" s="13" t="n">
        <v>0</v>
      </c>
      <c r="E187" s="13" t="n">
        <v>33</v>
      </c>
      <c r="F187" s="13" t="inlineStr">
        <is>
          <t>Basico</t>
        </is>
      </c>
      <c r="G187" s="13" t="inlineStr">
        <is>
          <t>Básico</t>
        </is>
      </c>
      <c r="H187" s="23" t="n">
        <v>46054</v>
      </c>
      <c r="I187" s="104" t="n">
        <v>18813.15</v>
      </c>
      <c r="J187" s="105" t="n">
        <v>225757.32</v>
      </c>
      <c r="K187" s="105">
        <f>+J187-I187</f>
        <v/>
      </c>
      <c r="L187" s="13" t="inlineStr">
        <is>
          <t>Validado</t>
        </is>
      </c>
      <c r="M187" s="22" t="inlineStr">
        <is>
          <t>FC B</t>
        </is>
      </c>
      <c r="N187" s="24" t="n">
        <v>2031</v>
      </c>
      <c r="O187" s="106" t="n">
        <v>46122</v>
      </c>
      <c r="P187" s="22" t="inlineStr">
        <is>
          <t>Certificado Nº 33 - Feb'26 / Anticipo Financiero (8,33%)</t>
        </is>
      </c>
      <c r="Q187" s="22" t="inlineStr">
        <is>
          <t>NO</t>
        </is>
      </c>
      <c r="R187" s="22" t="inlineStr">
        <is>
          <t>N/A</t>
        </is>
      </c>
      <c r="S187" s="105">
        <f>+K187</f>
        <v/>
      </c>
      <c r="T187" s="105" t="n"/>
      <c r="U187" s="105" t="n">
        <v>0</v>
      </c>
      <c r="V187" s="105" t="n">
        <v>0</v>
      </c>
      <c r="W187" s="105" t="n">
        <v>0</v>
      </c>
      <c r="X187" s="105">
        <f>IF(A187="00-175",S187*0.06,0)</f>
        <v/>
      </c>
      <c r="Y187" s="105" t="n">
        <v>0</v>
      </c>
      <c r="Z187" s="105" t="n"/>
      <c r="AA187" s="105">
        <f>+S187+T187+U187+W187+X187</f>
        <v/>
      </c>
      <c r="AB187" s="22" t="n"/>
      <c r="AC187" s="105" t="n"/>
      <c r="AD187" s="22" t="n"/>
      <c r="AE187" s="105" t="n"/>
      <c r="AF187" s="22" t="n"/>
      <c r="AG187" s="105" t="n"/>
      <c r="AH187" s="105" t="n"/>
      <c r="AI187" s="105">
        <f>+AC187+AE187+AG187+AH187</f>
        <v/>
      </c>
      <c r="AJ187" s="105">
        <f>+AA187-AI187</f>
        <v/>
      </c>
      <c r="AK187" s="21">
        <f>IF(Q187="ANULADA","N/A",IF(ABS(AJ187)&gt;10,"Pendiente",IF(MAX(AB187,AD187,AF187)=0,"Pendiente",MAX(0,MAX(AB187,AD187,AF187)-O187))))</f>
        <v/>
      </c>
    </row>
    <row r="188" ht="15" customHeight="1">
      <c r="A188" s="22" t="inlineStr">
        <is>
          <t>00-530</t>
        </is>
      </c>
      <c r="B188" s="22" t="inlineStr">
        <is>
          <t>INFRAESTRUCTURA ECONOMICA Y SOCIAL</t>
        </is>
      </c>
      <c r="C188" s="22" t="inlineStr">
        <is>
          <t>Redes y Colectores Cloacales Alderetes - Tucumán</t>
        </is>
      </c>
      <c r="D188" s="13" t="n">
        <v>0</v>
      </c>
      <c r="E188" s="13" t="n">
        <v>24</v>
      </c>
      <c r="F188" s="13" t="inlineStr">
        <is>
          <t>Red Def</t>
        </is>
      </c>
      <c r="G188" s="13" t="inlineStr">
        <is>
          <t>Redet.</t>
        </is>
      </c>
      <c r="H188" s="23" t="n">
        <v>45078</v>
      </c>
      <c r="I188" s="104" t="n"/>
      <c r="J188" s="105" t="n">
        <v>965658236.11</v>
      </c>
      <c r="K188" s="105">
        <f>+J188</f>
        <v/>
      </c>
      <c r="L188" s="13" t="inlineStr">
        <is>
          <t>Validado</t>
        </is>
      </c>
      <c r="M188" s="22" t="inlineStr">
        <is>
          <t>FC B</t>
        </is>
      </c>
      <c r="N188" s="24" t="n">
        <v>9998</v>
      </c>
      <c r="O188" s="116" t="n">
        <v>45090</v>
      </c>
      <c r="P188" s="22" t="inlineStr">
        <is>
          <t>Redeterminación Definitiva Nº 1 a 24 - Redes y Colectores Cloacales Alderetes - Tucumán (00530)</t>
        </is>
      </c>
      <c r="Q188" s="22" t="inlineStr">
        <is>
          <t>NO</t>
        </is>
      </c>
      <c r="R188" s="22" t="inlineStr">
        <is>
          <t>N/A</t>
        </is>
      </c>
      <c r="S188" s="105">
        <f>+J188</f>
        <v/>
      </c>
      <c r="T188" s="105" t="n"/>
      <c r="U188" s="105" t="n">
        <v>0</v>
      </c>
      <c r="V188" s="105" t="n">
        <v>0</v>
      </c>
      <c r="W188" s="105" t="n">
        <v>0</v>
      </c>
      <c r="X188" s="105" t="n">
        <v>0</v>
      </c>
      <c r="Y188" s="105" t="n">
        <v>0</v>
      </c>
      <c r="Z188" s="105" t="n"/>
      <c r="AA188" s="105">
        <f>+S188+T188+U188+W188+X188</f>
        <v/>
      </c>
      <c r="AB188" s="106" t="n">
        <v>45169</v>
      </c>
      <c r="AC188" s="105" t="n">
        <v>965658236.11</v>
      </c>
      <c r="AD188" s="106" t="n">
        <v>45169</v>
      </c>
      <c r="AE188" s="105" t="n"/>
      <c r="AF188" s="22" t="n"/>
      <c r="AG188" s="105" t="n"/>
      <c r="AH188" s="105" t="n"/>
      <c r="AI188" s="105">
        <f>+AC188+AE188+AG188+AH188</f>
        <v/>
      </c>
      <c r="AJ188" s="105">
        <f>+AA188-AI188</f>
        <v/>
      </c>
      <c r="AK188" s="21">
        <f>IF(Q188="ANULADA","N/A",IF(ABS(AJ188)&gt;10,"Pendiente",IF(MAX(AB188,AD188,AF188)=0,"Pendiente",MAX(0,MAX(AB188,AD188,AF188)-O188))))</f>
        <v/>
      </c>
    </row>
    <row r="189" ht="15" customHeight="1">
      <c r="A189" s="22" t="inlineStr">
        <is>
          <t>00-530</t>
        </is>
      </c>
      <c r="B189" s="22" t="inlineStr">
        <is>
          <t>INFRAESTRUCTURA ECONOMICA Y SOCIAL</t>
        </is>
      </c>
      <c r="C189" s="22" t="inlineStr">
        <is>
          <t>Redes y Colectores Cloacales Alderetes - Tucumán</t>
        </is>
      </c>
      <c r="D189" s="13" t="n">
        <v>0</v>
      </c>
      <c r="E189" s="13" t="n">
        <v>24</v>
      </c>
      <c r="F189" s="13" t="inlineStr">
        <is>
          <t>Basico</t>
        </is>
      </c>
      <c r="G189" s="13" t="inlineStr">
        <is>
          <t>Básico</t>
        </is>
      </c>
      <c r="H189" s="23" t="n">
        <v>45078</v>
      </c>
      <c r="I189" s="104" t="n">
        <v>44831454.23</v>
      </c>
      <c r="J189" s="105" t="n">
        <v>484314542.38</v>
      </c>
      <c r="K189" s="105">
        <f>+J189</f>
        <v/>
      </c>
      <c r="L189" s="13" t="inlineStr">
        <is>
          <t>Validado</t>
        </is>
      </c>
      <c r="M189" s="22" t="inlineStr">
        <is>
          <t>FC B</t>
        </is>
      </c>
      <c r="N189" s="41" t="n">
        <v>9999</v>
      </c>
      <c r="O189" s="116" t="n">
        <v>45090</v>
      </c>
      <c r="P189" s="43" t="inlineStr">
        <is>
          <t>Certificado Nº del 1 al 24 - Redes y Colectores Cloacales Alderetes - Tucumán (00530)</t>
        </is>
      </c>
      <c r="Q189" s="22" t="inlineStr">
        <is>
          <t>NO</t>
        </is>
      </c>
      <c r="R189" s="22" t="inlineStr">
        <is>
          <t>N/A</t>
        </is>
      </c>
      <c r="S189" s="105">
        <f>+J189</f>
        <v/>
      </c>
      <c r="T189" s="105" t="n"/>
      <c r="U189" s="105" t="n">
        <v>0</v>
      </c>
      <c r="V189" s="105">
        <f>IF(N189="FC B",T189,IF(C189="00-175",T189/(1+0.21),T189/(1+0.21+0.03)))</f>
        <v/>
      </c>
      <c r="W189" s="105">
        <f>IF(A189="00-175",U189*0.003,U189*0.025)</f>
        <v/>
      </c>
      <c r="X189" s="105">
        <f>IF(A189="00-175",U189*0.06,0)</f>
        <v/>
      </c>
      <c r="Y189" s="105">
        <f>IF(Q189="FC B",W189,IF(O189="00-175",W189/(1+0.21),W189/(1+0.21+0.03)))</f>
        <v/>
      </c>
      <c r="Z189" s="105" t="n"/>
      <c r="AA189" s="105">
        <f>+S189+T189+U189+W189+X189</f>
        <v/>
      </c>
      <c r="AB189" s="106" t="n">
        <v>45111</v>
      </c>
      <c r="AC189" s="105" t="n">
        <v>484314542.38</v>
      </c>
      <c r="AD189" s="106" t="n">
        <v>45111</v>
      </c>
      <c r="AE189" s="105" t="n"/>
      <c r="AF189" s="39" t="n"/>
      <c r="AG189" s="105" t="n"/>
      <c r="AH189" s="105" t="n"/>
      <c r="AI189" s="105">
        <f>+AC189+AE189+AG189+AH189</f>
        <v/>
      </c>
      <c r="AJ189" s="105">
        <f>+AA189-AI189</f>
        <v/>
      </c>
      <c r="AK189" s="21">
        <f>IF(Q189="ANULADA","N/A",IF(ABS(AJ189)&gt;10,"Pendiente",IF(MAX(AB189,AD189,AF189)=0,"Pendiente",MAX(0,MAX(AB189,AD189,AF189)-O189))))</f>
        <v/>
      </c>
    </row>
    <row r="190" hidden="1" ht="15" customHeight="1">
      <c r="A190" s="45" t="inlineStr">
        <is>
          <t>00-636</t>
        </is>
      </c>
      <c r="B190" s="25" t="inlineStr">
        <is>
          <t>FIDEICOMISO MARINAS DEL PLATA</t>
        </is>
      </c>
      <c r="C190" s="45" t="inlineStr">
        <is>
          <t>Rama de Egreso y Colectora Bajada Autopista</t>
        </is>
      </c>
      <c r="D190" s="45" t="inlineStr">
        <is>
          <t>Rama de Egreso y Colectora Bajada Autopista</t>
        </is>
      </c>
      <c r="E190" s="13" t="n">
        <v>1</v>
      </c>
      <c r="F190" s="13" t="inlineStr">
        <is>
          <t>Basico</t>
        </is>
      </c>
      <c r="G190" s="13" t="inlineStr">
        <is>
          <t>Básico</t>
        </is>
      </c>
      <c r="H190" s="23" t="n">
        <v>45931</v>
      </c>
      <c r="I190" s="104" t="n"/>
      <c r="J190" s="105" t="n">
        <v>39923737.96</v>
      </c>
      <c r="K190" s="105" t="n">
        <v>39923737.96</v>
      </c>
      <c r="L190" s="13" t="inlineStr">
        <is>
          <t>Validado</t>
        </is>
      </c>
      <c r="M190" s="45" t="inlineStr">
        <is>
          <t>FC A</t>
        </is>
      </c>
      <c r="N190" s="38" t="n">
        <v>2553</v>
      </c>
      <c r="O190" s="106" t="n">
        <v>46002</v>
      </c>
      <c r="P190" s="45" t="inlineStr">
        <is>
          <t>Certificado Nº 1 - Dic'25. - Rama de Egreso y Colectora Bajada Autopista (00636)</t>
        </is>
      </c>
      <c r="Q190" s="18" t="inlineStr">
        <is>
          <t>NO</t>
        </is>
      </c>
      <c r="R190" s="18" t="inlineStr">
        <is>
          <t>N/A</t>
        </is>
      </c>
      <c r="S190" s="105">
        <f>+J190</f>
        <v/>
      </c>
      <c r="T190" s="105" t="n"/>
      <c r="U190" s="105">
        <f>+S190*21%</f>
        <v/>
      </c>
      <c r="V190" s="105">
        <f>+S190*3%</f>
        <v/>
      </c>
      <c r="W190" s="105">
        <f>+S190*2.5%</f>
        <v/>
      </c>
      <c r="X190" s="105">
        <f>IF(A190="00-175",S190*0.06,0)</f>
        <v/>
      </c>
      <c r="Y190" s="105" t="n"/>
      <c r="Z190" s="105" t="n"/>
      <c r="AA190" s="105">
        <f>+S190+T190+U190+W190+X190+V190+Y190</f>
        <v/>
      </c>
      <c r="AB190" s="113" t="n">
        <v>46013</v>
      </c>
      <c r="AC190" s="105" t="n">
        <v>50503528.5194</v>
      </c>
      <c r="AD190" s="20" t="n"/>
      <c r="AE190" s="105" t="n"/>
      <c r="AF190" s="45" t="n"/>
      <c r="AG190" s="105" t="n"/>
      <c r="AH190" s="105" t="n"/>
      <c r="AI190" s="105">
        <f>+AC190+AE190+AG190+AH190</f>
        <v/>
      </c>
      <c r="AJ190" s="105">
        <f>+AA190-AI190</f>
        <v/>
      </c>
      <c r="AK190" s="21">
        <f>IF(Q190="ANULADA","N/A",IF(ABS(AJ190)&gt;10,"Pendiente",IF(MAX(AB190,AD190,AF190)=0,"Pendiente",MAX(0,MAX(AB190,AD190,AF190)-O190))))</f>
        <v/>
      </c>
    </row>
    <row r="191" hidden="1" ht="15" customHeight="1">
      <c r="A191" s="45" t="inlineStr">
        <is>
          <t>00-636</t>
        </is>
      </c>
      <c r="B191" s="25" t="inlineStr">
        <is>
          <t>FIDEICOMISO MARINAS DEL PLATA</t>
        </is>
      </c>
      <c r="C191" s="45" t="inlineStr">
        <is>
          <t>Rama de Egreso y Colectora Bajada Autopista</t>
        </is>
      </c>
      <c r="D191" s="45" t="inlineStr">
        <is>
          <t>Rama de Egreso y Colectora Bajada Autopista</t>
        </is>
      </c>
      <c r="E191" s="13" t="n">
        <v>1</v>
      </c>
      <c r="F191" s="13" t="inlineStr">
        <is>
          <t>Redet</t>
        </is>
      </c>
      <c r="G191" s="13" t="inlineStr">
        <is>
          <t>Redet.</t>
        </is>
      </c>
      <c r="H191" s="23" t="n">
        <v>45931</v>
      </c>
      <c r="I191" s="104" t="n"/>
      <c r="J191" s="105" t="n">
        <v>1940293.66</v>
      </c>
      <c r="K191" s="105" t="n">
        <v>1940293.66</v>
      </c>
      <c r="L191" s="13" t="inlineStr">
        <is>
          <t>Validado</t>
        </is>
      </c>
      <c r="M191" s="45" t="inlineStr">
        <is>
          <t>FC A</t>
        </is>
      </c>
      <c r="N191" s="38" t="n">
        <v>2554</v>
      </c>
      <c r="O191" s="106" t="n">
        <v>46002</v>
      </c>
      <c r="P191" s="45" t="inlineStr">
        <is>
          <t>Certificado Nº 1 - Dic'25. redet - Rama de Egreso y Colectora Bajada Autopista (00636)</t>
        </is>
      </c>
      <c r="Q191" s="18" t="inlineStr">
        <is>
          <t>NO</t>
        </is>
      </c>
      <c r="R191" s="18" t="inlineStr">
        <is>
          <t>N/A</t>
        </is>
      </c>
      <c r="S191" s="105">
        <f>+J191</f>
        <v/>
      </c>
      <c r="T191" s="105" t="n"/>
      <c r="U191" s="105">
        <f>+S191*21%</f>
        <v/>
      </c>
      <c r="V191" s="105">
        <f>+S191*3%</f>
        <v/>
      </c>
      <c r="W191" s="105">
        <f>+S191*2.5%</f>
        <v/>
      </c>
      <c r="X191" s="105">
        <f>IF(A191="00-175",S191*0.06,0)</f>
        <v/>
      </c>
      <c r="Y191" s="105" t="n"/>
      <c r="Z191" s="105" t="n"/>
      <c r="AA191" s="105">
        <f>+S191+T191+U191+W191+X191+V191+Y191</f>
        <v/>
      </c>
      <c r="AB191" s="113" t="n">
        <v>46013</v>
      </c>
      <c r="AC191" s="105" t="n">
        <v>2454471.4799</v>
      </c>
      <c r="AD191" s="20" t="n"/>
      <c r="AE191" s="105" t="n"/>
      <c r="AF191" s="45" t="n"/>
      <c r="AG191" s="105" t="n"/>
      <c r="AH191" s="105" t="n"/>
      <c r="AI191" s="105">
        <f>+AC191+AE191+AG191+AH191</f>
        <v/>
      </c>
      <c r="AJ191" s="105">
        <f>+AA191-AI191</f>
        <v/>
      </c>
      <c r="AK191" s="21">
        <f>IF(Q191="ANULADA","N/A",IF(ABS(AJ191)&gt;10,"Pendiente",IF(MAX(AB191,AD191,AF191)=0,"Pendiente",MAX(0,MAX(AB191,AD191,AF191)-O191))))</f>
        <v/>
      </c>
    </row>
    <row r="192" hidden="1" ht="15" customHeight="1">
      <c r="A192" s="45" t="inlineStr">
        <is>
          <t>00-636</t>
        </is>
      </c>
      <c r="B192" s="25" t="inlineStr">
        <is>
          <t>FIDEICOMISO MARINAS DEL PLATA</t>
        </is>
      </c>
      <c r="C192" s="45" t="inlineStr">
        <is>
          <t>Rama de Egreso y Colectora Bajada Autopista</t>
        </is>
      </c>
      <c r="D192" s="45" t="inlineStr">
        <is>
          <t>Rama de Egreso y Colectora Bajada Autopista</t>
        </is>
      </c>
      <c r="E192" s="13" t="n">
        <v>2</v>
      </c>
      <c r="F192" s="13" t="inlineStr">
        <is>
          <t>Basico</t>
        </is>
      </c>
      <c r="G192" s="13" t="inlineStr">
        <is>
          <t>Básico</t>
        </is>
      </c>
      <c r="H192" s="23" t="n">
        <v>45992</v>
      </c>
      <c r="I192" s="104" t="n"/>
      <c r="J192" s="105" t="n">
        <v>82180745.17</v>
      </c>
      <c r="K192" s="105" t="n">
        <v>82180745.17</v>
      </c>
      <c r="L192" s="13" t="inlineStr">
        <is>
          <t>Validado</t>
        </is>
      </c>
      <c r="M192" s="45" t="inlineStr">
        <is>
          <t>FC A</t>
        </is>
      </c>
      <c r="N192" s="38" t="n">
        <v>2571</v>
      </c>
      <c r="O192" s="106" t="n">
        <v>46053</v>
      </c>
      <c r="P192" s="45" t="inlineStr">
        <is>
          <t>Certificado Nº 2 - Dic'25. - Rama de Egreso y Colectora Bajada Autopista (00636)</t>
        </is>
      </c>
      <c r="Q192" s="18" t="inlineStr">
        <is>
          <t>NO</t>
        </is>
      </c>
      <c r="R192" s="18" t="inlineStr">
        <is>
          <t>N/A</t>
        </is>
      </c>
      <c r="S192" s="105">
        <f>+J192</f>
        <v/>
      </c>
      <c r="T192" s="105" t="n"/>
      <c r="U192" s="105">
        <f>+S192*21%</f>
        <v/>
      </c>
      <c r="V192" s="105">
        <f>+S192*3%</f>
        <v/>
      </c>
      <c r="W192" s="105">
        <f>+S192*2.5%</f>
        <v/>
      </c>
      <c r="X192" s="105">
        <f>IF(A192="00-175",S192*0.06,0)</f>
        <v/>
      </c>
      <c r="Y192" s="105" t="n"/>
      <c r="Z192" s="105" t="n"/>
      <c r="AA192" s="105">
        <f>+S192+T192+U192+W192+X192+V192+Y192</f>
        <v/>
      </c>
      <c r="AB192" s="113" t="n">
        <v>46053</v>
      </c>
      <c r="AC192" s="105" t="n">
        <v>103958642.65</v>
      </c>
      <c r="AD192" s="20" t="n"/>
      <c r="AE192" s="105" t="n"/>
      <c r="AF192" s="45" t="n"/>
      <c r="AG192" s="105" t="n"/>
      <c r="AH192" s="105" t="n"/>
      <c r="AI192" s="105">
        <f>+AC192+AE192+AG192+AH192</f>
        <v/>
      </c>
      <c r="AJ192" s="105">
        <f>+AA192-AI192</f>
        <v/>
      </c>
      <c r="AK192" s="21">
        <f>IF(Q192="ANULADA","N/A",IF(ABS(AJ192)&gt;10,"Pendiente",IF(MAX(AB192,AD192,AF192)=0,"Pendiente",MAX(0,MAX(AB192,AD192,AF192)-O192))))</f>
        <v/>
      </c>
    </row>
    <row r="193" hidden="1" ht="15" customHeight="1">
      <c r="A193" s="45" t="inlineStr">
        <is>
          <t>00-636</t>
        </is>
      </c>
      <c r="B193" s="25" t="inlineStr">
        <is>
          <t>FIDEICOMISO MARINAS DEL PLATA</t>
        </is>
      </c>
      <c r="C193" s="45" t="inlineStr">
        <is>
          <t>Rama de Egreso y Colectora Bajada Autopista</t>
        </is>
      </c>
      <c r="D193" s="45" t="inlineStr">
        <is>
          <t>Rama de Egreso y Colectora Bajada Autopista</t>
        </is>
      </c>
      <c r="E193" s="13" t="n">
        <v>2</v>
      </c>
      <c r="F193" s="13" t="inlineStr">
        <is>
          <t>Redet</t>
        </is>
      </c>
      <c r="G193" s="13" t="inlineStr">
        <is>
          <t>Redet.</t>
        </is>
      </c>
      <c r="H193" s="23" t="n">
        <v>45992</v>
      </c>
      <c r="I193" s="104" t="n"/>
      <c r="J193" s="105" t="n">
        <v>9561948.65</v>
      </c>
      <c r="K193" s="105" t="n">
        <v>9561948.65</v>
      </c>
      <c r="L193" s="13" t="inlineStr">
        <is>
          <t>Validado</t>
        </is>
      </c>
      <c r="M193" s="45" t="inlineStr">
        <is>
          <t>FC A</t>
        </is>
      </c>
      <c r="N193" s="38" t="n">
        <v>2572</v>
      </c>
      <c r="O193" s="106" t="n">
        <v>46053</v>
      </c>
      <c r="P193" s="45" t="inlineStr">
        <is>
          <t>Certificado de Redeterminación Provisoria Nº 2 - Dic'25 - Rama de Egreso y Colectora Bajada Autopista (00636)</t>
        </is>
      </c>
      <c r="Q193" s="18" t="inlineStr">
        <is>
          <t>NO</t>
        </is>
      </c>
      <c r="R193" s="18" t="inlineStr">
        <is>
          <t>N/A</t>
        </is>
      </c>
      <c r="S193" s="105">
        <f>+J193</f>
        <v/>
      </c>
      <c r="T193" s="105" t="n"/>
      <c r="U193" s="105">
        <f>+S193*21%</f>
        <v/>
      </c>
      <c r="V193" s="105">
        <f>+S193*3%</f>
        <v/>
      </c>
      <c r="W193" s="105">
        <f>+S193*2.5%</f>
        <v/>
      </c>
      <c r="X193" s="105">
        <f>IF(A193="00-175",S193*0.06,0)</f>
        <v/>
      </c>
      <c r="Y193" s="105" t="n"/>
      <c r="Z193" s="105" t="n"/>
      <c r="AA193" s="105">
        <f>+S193+T193+U193+W193+X193+V193+Y193</f>
        <v/>
      </c>
      <c r="AB193" s="113" t="n">
        <v>46053</v>
      </c>
      <c r="AC193" s="105" t="n">
        <v>12095865.05</v>
      </c>
      <c r="AD193" s="20" t="n"/>
      <c r="AE193" s="105" t="n"/>
      <c r="AF193" s="45" t="n"/>
      <c r="AG193" s="105" t="n"/>
      <c r="AH193" s="105" t="n"/>
      <c r="AI193" s="105">
        <f>+AC193+AE193+AG193+AH193</f>
        <v/>
      </c>
      <c r="AJ193" s="105">
        <f>+AA193-AI193</f>
        <v/>
      </c>
      <c r="AK193" s="21">
        <f>IF(Q193="ANULADA","N/A",IF(ABS(AJ193)&gt;10,"Pendiente",IF(MAX(AB193,AD193,AF193)=0,"Pendiente",MAX(0,MAX(AB193,AD193,AF193)-O193))))</f>
        <v/>
      </c>
    </row>
    <row r="194" hidden="1" ht="15" customHeight="1">
      <c r="A194" s="45" t="inlineStr">
        <is>
          <t>00-636</t>
        </is>
      </c>
      <c r="B194" s="25" t="inlineStr">
        <is>
          <t>FIDEICOMISO MARINAS DEL PLATA</t>
        </is>
      </c>
      <c r="C194" s="45" t="inlineStr">
        <is>
          <t>Rama de Egreso y Colectora Bajada Autopista</t>
        </is>
      </c>
      <c r="D194" s="45" t="inlineStr">
        <is>
          <t>Rama de Egreso y Colectora Bajada Autopista</t>
        </is>
      </c>
      <c r="E194" s="13" t="n">
        <v>4</v>
      </c>
      <c r="F194" s="13" t="inlineStr">
        <is>
          <t>Basico</t>
        </is>
      </c>
      <c r="G194" s="13" t="inlineStr">
        <is>
          <t>Básico</t>
        </is>
      </c>
      <c r="H194" s="23" t="n">
        <v>46054</v>
      </c>
      <c r="I194" s="104" t="n"/>
      <c r="J194" s="105" t="n">
        <v>4574310.52</v>
      </c>
      <c r="K194" s="105" t="n">
        <v>4574310.52</v>
      </c>
      <c r="L194" s="13" t="inlineStr">
        <is>
          <t>Validado</t>
        </is>
      </c>
      <c r="M194" s="45" t="inlineStr">
        <is>
          <t>FC A</t>
        </is>
      </c>
      <c r="N194" s="38" t="n">
        <v>2590</v>
      </c>
      <c r="O194" s="106" t="n">
        <v>46108</v>
      </c>
      <c r="P194" s="45" t="inlineStr">
        <is>
          <t>Certificado Nº 4 - Feb'26 - Rama de Egreso y Colectora de Acceso Barrio Puerto Nizuc (00636)</t>
        </is>
      </c>
      <c r="Q194" s="18" t="inlineStr">
        <is>
          <t>NO</t>
        </is>
      </c>
      <c r="R194" s="18" t="inlineStr">
        <is>
          <t>N/A</t>
        </is>
      </c>
      <c r="S194" s="105">
        <f>+J194</f>
        <v/>
      </c>
      <c r="T194" s="105" t="n"/>
      <c r="U194" s="105">
        <f>+S194*21%</f>
        <v/>
      </c>
      <c r="V194" s="105">
        <f>+S194*3%</f>
        <v/>
      </c>
      <c r="W194" s="105">
        <f>+S194*2.5%</f>
        <v/>
      </c>
      <c r="X194" s="105">
        <f>IF(A194="00-175",S194*0.06,0)</f>
        <v/>
      </c>
      <c r="Y194" s="105" t="n"/>
      <c r="Z194" s="105" t="n"/>
      <c r="AA194" s="105">
        <f>+S194+T194+U194+W194+X194+V194+Y194</f>
        <v/>
      </c>
      <c r="AB194" s="112" t="n">
        <v>46121</v>
      </c>
      <c r="AC194" s="105" t="n">
        <v>5786502.8078</v>
      </c>
      <c r="AD194" s="20" t="n"/>
      <c r="AE194" s="105" t="n"/>
      <c r="AF194" s="45" t="n"/>
      <c r="AG194" s="105" t="n"/>
      <c r="AH194" s="105" t="n"/>
      <c r="AI194" s="105">
        <f>+AC194+AE194+AG194+AH194</f>
        <v/>
      </c>
      <c r="AJ194" s="105">
        <f>+AA194-AI194</f>
        <v/>
      </c>
      <c r="AK194" s="21">
        <f>IF(Q194="ANULADA","N/A",IF(ABS(AJ194)&gt;10,"Pendiente",IF(MAX(AB194,AD194,AF194)=0,"Pendiente",MAX(0,MAX(AB194,AD194,AF194)-O194))))</f>
        <v/>
      </c>
    </row>
    <row r="195" hidden="1" ht="15" customHeight="1">
      <c r="A195" s="45" t="inlineStr">
        <is>
          <t>00-636</t>
        </is>
      </c>
      <c r="B195" s="25" t="inlineStr">
        <is>
          <t>FIDEICOMISO MARINAS DEL PLATA</t>
        </is>
      </c>
      <c r="C195" s="45" t="inlineStr">
        <is>
          <t>Rama de Egreso y Colectora Bajada Autopista</t>
        </is>
      </c>
      <c r="D195" s="45" t="inlineStr">
        <is>
          <t>Rama de Egreso y Colectora Bajada Autopista</t>
        </is>
      </c>
      <c r="E195" s="13" t="n">
        <v>4</v>
      </c>
      <c r="F195" s="13" t="inlineStr">
        <is>
          <t>Redet</t>
        </is>
      </c>
      <c r="G195" s="13" t="inlineStr">
        <is>
          <t>Redet.</t>
        </is>
      </c>
      <c r="H195" s="23" t="n">
        <v>46054</v>
      </c>
      <c r="I195" s="104" t="n"/>
      <c r="J195" s="105" t="n">
        <v>3243706.3</v>
      </c>
      <c r="K195" s="105" t="n">
        <v>3243706.3</v>
      </c>
      <c r="L195" s="13" t="inlineStr">
        <is>
          <t>Validado</t>
        </is>
      </c>
      <c r="M195" s="45" t="inlineStr">
        <is>
          <t>FC A</t>
        </is>
      </c>
      <c r="N195" s="38" t="n">
        <v>2591</v>
      </c>
      <c r="O195" s="106" t="n">
        <v>46108</v>
      </c>
      <c r="P195" s="45" t="inlineStr">
        <is>
          <t>Certificado de Redeterminación Provisoria Nº 4 - Feb'26 + Certificado de Redeterminación Definitiva Nº 3 - Ene'26 - Rama de Egreso y Colectora de Acceso Barrio Puerto Nizuc (00636)</t>
        </is>
      </c>
      <c r="Q195" s="18" t="inlineStr">
        <is>
          <t>NO</t>
        </is>
      </c>
      <c r="R195" s="18" t="inlineStr">
        <is>
          <t>N/A</t>
        </is>
      </c>
      <c r="S195" s="105">
        <f>+J195</f>
        <v/>
      </c>
      <c r="T195" s="105" t="n"/>
      <c r="U195" s="105">
        <f>+S195*21%</f>
        <v/>
      </c>
      <c r="V195" s="105">
        <f>+S195*3%</f>
        <v/>
      </c>
      <c r="W195" s="105">
        <f>+S195*2.5%</f>
        <v/>
      </c>
      <c r="X195" s="105">
        <f>IF(A195="00-175",S195*0.06,0)</f>
        <v/>
      </c>
      <c r="Y195" s="105" t="n"/>
      <c r="Z195" s="105" t="n"/>
      <c r="AA195" s="105">
        <f>+S195+T195+U195+W195+X195+V195+Y195</f>
        <v/>
      </c>
      <c r="AB195" s="112" t="n">
        <v>46121</v>
      </c>
      <c r="AC195" s="105" t="n">
        <v>4103288.4695</v>
      </c>
      <c r="AD195" s="20" t="n"/>
      <c r="AE195" s="105" t="n"/>
      <c r="AF195" s="45" t="n"/>
      <c r="AG195" s="105" t="n"/>
      <c r="AH195" s="105" t="n"/>
      <c r="AI195" s="105">
        <f>+AC195+AE195+AG195+AH195</f>
        <v/>
      </c>
      <c r="AJ195" s="105">
        <f>+AA195-AI195</f>
        <v/>
      </c>
      <c r="AK195" s="21">
        <f>IF(Q195="ANULADA","N/A",IF(ABS(AJ195)&gt;10,"Pendiente",IF(MAX(AB195,AD195,AF195)=0,"Pendiente",MAX(0,MAX(AB195,AD195,AF195)-O195))))</f>
        <v/>
      </c>
    </row>
    <row r="196" hidden="1" ht="15" customHeight="1">
      <c r="A196" s="45" t="inlineStr">
        <is>
          <t>00-636</t>
        </is>
      </c>
      <c r="B196" s="25" t="inlineStr">
        <is>
          <t>FIDEICOMISO MARINAS DEL PLATA</t>
        </is>
      </c>
      <c r="C196" s="45" t="inlineStr">
        <is>
          <t>Rama de Egreso y Colectora Bajada Autopista</t>
        </is>
      </c>
      <c r="D196" s="45" t="inlineStr">
        <is>
          <t>Rama de Egreso y Colectora Bajada Autopista</t>
        </is>
      </c>
      <c r="E196" s="13" t="n">
        <v>3</v>
      </c>
      <c r="F196" s="13" t="inlineStr">
        <is>
          <t>Basico</t>
        </is>
      </c>
      <c r="G196" s="13" t="inlineStr">
        <is>
          <t>Básico</t>
        </is>
      </c>
      <c r="H196" s="23" t="n">
        <v>46023</v>
      </c>
      <c r="I196" s="104" t="n"/>
      <c r="J196" s="105" t="n">
        <v>102763620.77</v>
      </c>
      <c r="K196" s="105" t="n">
        <v>102763620.77</v>
      </c>
      <c r="L196" s="13" t="inlineStr">
        <is>
          <t>Validado</t>
        </is>
      </c>
      <c r="M196" s="45" t="inlineStr">
        <is>
          <t>FC A</t>
        </is>
      </c>
      <c r="N196" s="38" t="n">
        <v>2592</v>
      </c>
      <c r="O196" s="106" t="n">
        <v>46108</v>
      </c>
      <c r="P196" s="45" t="inlineStr">
        <is>
          <t>Certificado Nº 3 - Ene'26 - Rama de Egreso y Colectora de Acceso Barrio Puerto Nizuc (00636)</t>
        </is>
      </c>
      <c r="Q196" s="18" t="inlineStr">
        <is>
          <t>NO</t>
        </is>
      </c>
      <c r="R196" s="18" t="inlineStr">
        <is>
          <t>N/A</t>
        </is>
      </c>
      <c r="S196" s="105">
        <f>+J196</f>
        <v/>
      </c>
      <c r="T196" s="105" t="n"/>
      <c r="U196" s="105">
        <f>+S196*21%</f>
        <v/>
      </c>
      <c r="V196" s="105">
        <f>+S196*3%</f>
        <v/>
      </c>
      <c r="W196" s="105">
        <f>+S196*2.5%</f>
        <v/>
      </c>
      <c r="X196" s="105">
        <f>IF(A196="00-175",S196*0.06,0)</f>
        <v/>
      </c>
      <c r="Y196" s="105" t="n"/>
      <c r="Z196" s="105" t="n"/>
      <c r="AA196" s="105">
        <f>+S196+T196+U196+W196+X196+V196+Y196</f>
        <v/>
      </c>
      <c r="AB196" s="112" t="n">
        <v>46121</v>
      </c>
      <c r="AC196" s="105" t="n">
        <v>53.77</v>
      </c>
      <c r="AD196" s="106" t="n">
        <v>46141</v>
      </c>
      <c r="AE196" s="105" t="n">
        <v>129995926.5</v>
      </c>
      <c r="AF196" s="45" t="n"/>
      <c r="AG196" s="105" t="n"/>
      <c r="AH196" s="105" t="n"/>
      <c r="AI196" s="105">
        <f>+AC196+AE196+AG196+AH196</f>
        <v/>
      </c>
      <c r="AJ196" s="105">
        <f>+AA196-AI196</f>
        <v/>
      </c>
      <c r="AK196" s="21">
        <f>IF(Q196="ANULADA","N/A",IF(ABS(AJ196)&gt;10,"Pendiente",IF(MAX(AB196,AD196,AF196)=0,"Pendiente",MAX(0,MAX(AB196,AD196,AF196)-O196))))</f>
        <v/>
      </c>
    </row>
    <row r="197" hidden="1" ht="15" customHeight="1">
      <c r="A197" s="45" t="inlineStr">
        <is>
          <t>00-636</t>
        </is>
      </c>
      <c r="B197" s="25" t="inlineStr">
        <is>
          <t>FIDEICOMISO MARINAS DEL PLATA</t>
        </is>
      </c>
      <c r="C197" s="45" t="inlineStr">
        <is>
          <t>Rama de Egreso y Colectora Bajada Autopista</t>
        </is>
      </c>
      <c r="D197" s="45" t="inlineStr">
        <is>
          <t>Rama de Egreso y Colectora Bajada Autopista</t>
        </is>
      </c>
      <c r="E197" s="13" t="n"/>
      <c r="F197" s="13" t="n"/>
      <c r="G197" s="13" t="inlineStr">
        <is>
          <t>Redet.</t>
        </is>
      </c>
      <c r="H197" s="23" t="n">
        <v>46023</v>
      </c>
      <c r="I197" s="104" t="n"/>
      <c r="J197" s="105" t="n">
        <v>0</v>
      </c>
      <c r="K197" s="105" t="n">
        <v>0</v>
      </c>
      <c r="L197" s="13" t="n"/>
      <c r="M197" s="45" t="inlineStr">
        <is>
          <t>FC A</t>
        </is>
      </c>
      <c r="N197" s="38" t="n">
        <v>2593</v>
      </c>
      <c r="O197" s="106" t="n">
        <v>46108</v>
      </c>
      <c r="P197" s="45" t="inlineStr">
        <is>
          <t>Certificado de Redeterminación Provisoria Nº 3 - Ene'26 - Rama de Egreso y Colectora de Acceso Barrio Puerto Nizuc (00636)</t>
        </is>
      </c>
      <c r="Q197" s="18" t="inlineStr">
        <is>
          <t>ANULADA</t>
        </is>
      </c>
      <c r="R197" s="18" t="n">
        <v>364</v>
      </c>
      <c r="S197" s="105">
        <f>+J197</f>
        <v/>
      </c>
      <c r="T197" s="105" t="n"/>
      <c r="U197" s="105">
        <f>+S197*21%</f>
        <v/>
      </c>
      <c r="V197" s="105">
        <f>+S197*3%</f>
        <v/>
      </c>
      <c r="W197" s="105">
        <f>+S197*2.5%</f>
        <v/>
      </c>
      <c r="X197" s="105">
        <f>IF(A197="00-175",S197*0.06,0)</f>
        <v/>
      </c>
      <c r="Y197" s="105" t="n"/>
      <c r="Z197" s="105" t="n"/>
      <c r="AA197" s="105">
        <f>+S197+T197+U197+W197+X197+V197+Y197</f>
        <v/>
      </c>
      <c r="AB197" s="113" t="n"/>
      <c r="AC197" s="105" t="n"/>
      <c r="AD197" s="20" t="n"/>
      <c r="AE197" s="105" t="n"/>
      <c r="AF197" s="45" t="n"/>
      <c r="AG197" s="105" t="n"/>
      <c r="AH197" s="105" t="n"/>
      <c r="AI197" s="105">
        <f>+AC197+AE197+AG197+AH197</f>
        <v/>
      </c>
      <c r="AJ197" s="105">
        <f>+AA197-AI197</f>
        <v/>
      </c>
      <c r="AK197" s="21">
        <f>IF(Q197="ANULADA","N/A",IF(ABS(AJ197)&gt;10,"Pendiente",IF(MAX(AB197,AD197,AF197)=0,"Pendiente",MAX(0,MAX(AB197,AD197,AF197)-O197))))</f>
        <v/>
      </c>
    </row>
    <row r="198" hidden="1" ht="15" customHeight="1">
      <c r="A198" s="45" t="inlineStr">
        <is>
          <t>00-636</t>
        </is>
      </c>
      <c r="B198" s="25" t="inlineStr">
        <is>
          <t>FIDEICOMISO MARINAS DEL PLATA</t>
        </is>
      </c>
      <c r="C198" s="45" t="inlineStr">
        <is>
          <t>Rama de Egreso y Colectora Bajada Autopista</t>
        </is>
      </c>
      <c r="D198" s="45" t="inlineStr">
        <is>
          <t>Rama de Egreso y Colectora Bajada Autopista</t>
        </is>
      </c>
      <c r="E198" s="13" t="n">
        <v>3</v>
      </c>
      <c r="F198" s="13" t="inlineStr">
        <is>
          <t>Redet</t>
        </is>
      </c>
      <c r="G198" s="13" t="inlineStr">
        <is>
          <t>Redet.</t>
        </is>
      </c>
      <c r="H198" s="23" t="n">
        <v>46023</v>
      </c>
      <c r="I198" s="104" t="n"/>
      <c r="J198" s="105" t="n">
        <v>12306543.08</v>
      </c>
      <c r="K198" s="105" t="n">
        <v>12306543.08</v>
      </c>
      <c r="L198" s="13" t="inlineStr">
        <is>
          <t>Validado</t>
        </is>
      </c>
      <c r="M198" s="45" t="inlineStr">
        <is>
          <t>FC A</t>
        </is>
      </c>
      <c r="N198" s="38" t="n">
        <v>2594</v>
      </c>
      <c r="O198" s="106" t="n">
        <v>46108</v>
      </c>
      <c r="P198" s="45" t="inlineStr">
        <is>
          <t>Certificado de Redeterminación Provisoria Nº 3 - Ene'26 - Rama de Egreso y Colectora de Acceso Barrio Puerto Nizuc (00636)</t>
        </is>
      </c>
      <c r="Q198" s="18" t="inlineStr">
        <is>
          <t>NO</t>
        </is>
      </c>
      <c r="R198" s="18" t="inlineStr">
        <is>
          <t>N/A</t>
        </is>
      </c>
      <c r="S198" s="105">
        <f>+J198</f>
        <v/>
      </c>
      <c r="T198" s="105" t="n"/>
      <c r="U198" s="105">
        <f>+S198*21%</f>
        <v/>
      </c>
      <c r="V198" s="105">
        <f>+S198*3%</f>
        <v/>
      </c>
      <c r="W198" s="105">
        <f>+S198*2.5%</f>
        <v/>
      </c>
      <c r="X198" s="105">
        <f>IF(A198="00-175",S198*0.06,0)</f>
        <v/>
      </c>
      <c r="Y198" s="105" t="n"/>
      <c r="Z198" s="105" t="n"/>
      <c r="AA198" s="105">
        <f>+S198+T198+U198+W198+X198+V198+Y198</f>
        <v/>
      </c>
      <c r="AB198" s="106" t="n">
        <v>46141</v>
      </c>
      <c r="AC198" s="105" t="n">
        <v>15567777</v>
      </c>
      <c r="AD198" s="22" t="n"/>
      <c r="AE198" s="105" t="n"/>
      <c r="AF198" s="22" t="n"/>
      <c r="AG198" s="105" t="n"/>
      <c r="AH198" s="105" t="n"/>
      <c r="AI198" s="105">
        <f>+AC198+AE198+AG198+AH198</f>
        <v/>
      </c>
      <c r="AJ198" s="105">
        <f>+AA198-AI198</f>
        <v/>
      </c>
      <c r="AK198" s="21">
        <f>IF(Q198="ANULADA","N/A",IF(ABS(AJ198)&gt;10,"Pendiente",IF(MAX(AB198,AD198,AF198)=0,"Pendiente",MAX(0,MAX(AB198,AD198,AF198)-O198))))</f>
        <v/>
      </c>
    </row>
    <row r="199" hidden="1" ht="15" customHeight="1">
      <c r="A199" s="22" t="inlineStr">
        <is>
          <t>00-636</t>
        </is>
      </c>
      <c r="B199" s="25" t="inlineStr">
        <is>
          <t>FIDEICOMISO MARINAS DEL PLATA</t>
        </is>
      </c>
      <c r="C199" s="22" t="inlineStr">
        <is>
          <t>Rama de Egreso y Colectora Bajada Autopista</t>
        </is>
      </c>
      <c r="D199" s="13" t="inlineStr">
        <is>
          <t>Rama de Egreso y Colectora Bajada Autopista</t>
        </is>
      </c>
      <c r="E199" s="13" t="n">
        <v>5</v>
      </c>
      <c r="F199" s="13" t="inlineStr">
        <is>
          <t>Basico</t>
        </is>
      </c>
      <c r="G199" s="13" t="inlineStr">
        <is>
          <t>basico</t>
        </is>
      </c>
      <c r="H199" s="23" t="n">
        <v>46113</v>
      </c>
      <c r="I199" s="104" t="n"/>
      <c r="J199" s="105" t="n">
        <v>39705729.75</v>
      </c>
      <c r="K199" s="105" t="n">
        <v>39705729.75</v>
      </c>
      <c r="L199" s="13" t="inlineStr">
        <is>
          <t>Validado</t>
        </is>
      </c>
      <c r="M199" s="45" t="inlineStr">
        <is>
          <t>FC A</t>
        </is>
      </c>
      <c r="N199" s="24" t="n">
        <v>2630</v>
      </c>
      <c r="O199" s="106" t="n">
        <v>46178</v>
      </c>
      <c r="P199" s="22" t="inlineStr">
        <is>
          <t>Certificado Nº 5 - Abr'26.</t>
        </is>
      </c>
      <c r="Q199" s="18" t="inlineStr">
        <is>
          <t>NO</t>
        </is>
      </c>
      <c r="R199" s="18" t="inlineStr">
        <is>
          <t>N/A</t>
        </is>
      </c>
      <c r="S199" s="105">
        <f>+K199</f>
        <v/>
      </c>
      <c r="T199" s="105" t="n"/>
      <c r="U199" s="105">
        <f>+S199*21%</f>
        <v/>
      </c>
      <c r="V199" s="105">
        <f>+S199*3%</f>
        <v/>
      </c>
      <c r="W199" s="105">
        <f>+S199*2.5%</f>
        <v/>
      </c>
      <c r="X199" s="105">
        <f>IF(A199="00-175",S199*0.06,0)</f>
        <v/>
      </c>
      <c r="Y199" s="105" t="n"/>
      <c r="Z199" s="105" t="n"/>
      <c r="AA199" s="105">
        <f>+S199+T199+U199+W199+X199+V199+Y199</f>
        <v/>
      </c>
      <c r="AB199" s="22" t="n"/>
      <c r="AC199" s="105" t="n"/>
      <c r="AD199" s="22" t="n"/>
      <c r="AE199" s="105" t="n"/>
      <c r="AF199" s="22" t="n"/>
      <c r="AG199" s="105" t="n"/>
      <c r="AH199" s="105" t="n"/>
      <c r="AI199" s="105">
        <f>+AC199+AE199+AG199+AH199</f>
        <v/>
      </c>
      <c r="AJ199" s="105">
        <f>+AA199-AI199</f>
        <v/>
      </c>
      <c r="AK199" s="21">
        <f>IF(Q199="ANULADA","N/A",IF(ABS(AJ199)&gt;10,"Pendiente",IF(MAX(AB199,AD199,AF199)=0,"Pendiente",MAX(0,MAX(AB199,AD199,AF199)-O199))))</f>
        <v/>
      </c>
    </row>
    <row r="200" hidden="1" ht="15" customHeight="1">
      <c r="A200" s="22" t="inlineStr">
        <is>
          <t>00-636</t>
        </is>
      </c>
      <c r="B200" s="25" t="inlineStr">
        <is>
          <t>FIDEICOMISO MARINAS DEL PLATA</t>
        </is>
      </c>
      <c r="C200" s="22" t="inlineStr">
        <is>
          <t>Rama de Egreso y Colectora Bajada Autopista</t>
        </is>
      </c>
      <c r="D200" s="13" t="inlineStr">
        <is>
          <t>Rama de Egreso y Colectora Bajada Autopista</t>
        </is>
      </c>
      <c r="E200" s="13" t="n">
        <v>5</v>
      </c>
      <c r="F200" s="13" t="inlineStr">
        <is>
          <t>Redet</t>
        </is>
      </c>
      <c r="G200" s="13" t="inlineStr">
        <is>
          <t>Redet.</t>
        </is>
      </c>
      <c r="H200" s="23" t="n">
        <v>46113</v>
      </c>
      <c r="I200" s="104" t="n"/>
      <c r="J200" s="105" t="n">
        <v>6790665.12</v>
      </c>
      <c r="K200" s="105" t="n">
        <v>6790665.12</v>
      </c>
      <c r="L200" s="13" t="inlineStr">
        <is>
          <t>Validado</t>
        </is>
      </c>
      <c r="M200" s="45" t="inlineStr">
        <is>
          <t>FC A</t>
        </is>
      </c>
      <c r="N200" s="24" t="n">
        <v>2631</v>
      </c>
      <c r="O200" s="106" t="n">
        <v>46178</v>
      </c>
      <c r="P200" s="22" t="inlineStr">
        <is>
          <t>Redeterminación Provisoria Nº 5 - Abr'26 + Redeterminación Definitiva Nº 4 - Feb'26</t>
        </is>
      </c>
      <c r="Q200" s="18" t="inlineStr">
        <is>
          <t>NO</t>
        </is>
      </c>
      <c r="R200" s="18" t="inlineStr">
        <is>
          <t>N/A</t>
        </is>
      </c>
      <c r="S200" s="105">
        <f>+K200</f>
        <v/>
      </c>
      <c r="T200" s="105" t="n"/>
      <c r="U200" s="105">
        <f>+S200*21%</f>
        <v/>
      </c>
      <c r="V200" s="105">
        <f>+S200*3%</f>
        <v/>
      </c>
      <c r="W200" s="105">
        <f>+S200*2.5%</f>
        <v/>
      </c>
      <c r="X200" s="105">
        <f>IF(A200="00-175",S200*0.06,0)</f>
        <v/>
      </c>
      <c r="Y200" s="105" t="n"/>
      <c r="Z200" s="105" t="n"/>
      <c r="AA200" s="105">
        <f>+S200+T200+U200+W200+X200+V200+Y200</f>
        <v/>
      </c>
      <c r="AB200" s="22" t="n"/>
      <c r="AC200" s="105" t="n"/>
      <c r="AD200" s="22" t="n"/>
      <c r="AE200" s="105" t="n"/>
      <c r="AF200" s="22" t="n"/>
      <c r="AG200" s="105" t="n"/>
      <c r="AH200" s="105" t="n"/>
      <c r="AI200" s="105">
        <f>+AC200+AE200+AG200+AH200</f>
        <v/>
      </c>
      <c r="AJ200" s="105">
        <f>+AA200-AI200</f>
        <v/>
      </c>
      <c r="AK200" s="21">
        <f>IF(Q200="ANULADA","N/A",IF(ABS(AJ200)&gt;10,"Pendiente",IF(MAX(AB200,AD200,AF200)=0,"Pendiente",MAX(0,MAX(AB200,AD200,AF200)-O200))))</f>
        <v/>
      </c>
    </row>
    <row r="201" hidden="1" ht="15" customHeight="1">
      <c r="A201" s="22" t="inlineStr">
        <is>
          <t>01-000</t>
        </is>
      </c>
      <c r="B201" s="22" t="inlineStr">
        <is>
          <t>NOMINA GERENTES</t>
        </is>
      </c>
      <c r="C201" s="22" t="inlineStr">
        <is>
          <t>DYCASA SEDE</t>
        </is>
      </c>
      <c r="D201" s="22" t="inlineStr">
        <is>
          <t>NOMINA GERENTES</t>
        </is>
      </c>
      <c r="E201" s="13" t="inlineStr">
        <is>
          <t>NA</t>
        </is>
      </c>
      <c r="F201" s="13" t="n"/>
      <c r="G201" s="13" t="inlineStr">
        <is>
          <t>NA</t>
        </is>
      </c>
      <c r="H201" s="13" t="inlineStr">
        <is>
          <t>NA</t>
        </is>
      </c>
      <c r="I201" s="104" t="n"/>
      <c r="J201" s="105" t="n">
        <v>25868427.94</v>
      </c>
      <c r="K201" s="105" t="n">
        <v>25868427.94</v>
      </c>
      <c r="L201" s="13" t="inlineStr">
        <is>
          <t>Validado</t>
        </is>
      </c>
      <c r="M201" s="22" t="inlineStr">
        <is>
          <t>FC A</t>
        </is>
      </c>
      <c r="N201" s="24" t="n">
        <v>2502</v>
      </c>
      <c r="O201" s="106" t="n">
        <v>45899</v>
      </c>
      <c r="P201" s="22" t="inlineStr">
        <is>
          <t>Intereses por mora en el pago de facturas. - DYCASA SEDE (01000)</t>
        </is>
      </c>
      <c r="Q201" s="22" t="inlineStr">
        <is>
          <t>NO</t>
        </is>
      </c>
      <c r="R201" s="22" t="inlineStr">
        <is>
          <t>N/A</t>
        </is>
      </c>
      <c r="S201" s="105">
        <f>+J201</f>
        <v/>
      </c>
      <c r="T201" s="105" t="n"/>
      <c r="U201" s="105">
        <f>+S201*21%</f>
        <v/>
      </c>
      <c r="V201" s="105">
        <f>+S201*3%</f>
        <v/>
      </c>
      <c r="W201" s="105" t="n">
        <v>0</v>
      </c>
      <c r="X201" s="105">
        <f>IF(A201="00-175",U201*0.06,0)</f>
        <v/>
      </c>
      <c r="Y201" s="105" t="n">
        <v>0</v>
      </c>
      <c r="Z201" s="105" t="n"/>
      <c r="AA201" s="105">
        <f>+S201+T201+U201+W201+X201+V201+Y201</f>
        <v/>
      </c>
      <c r="AB201" s="22" t="n"/>
      <c r="AC201" s="105" t="n"/>
      <c r="AD201" s="22" t="n"/>
      <c r="AE201" s="105" t="n"/>
      <c r="AF201" s="22" t="n"/>
      <c r="AG201" s="105" t="n"/>
      <c r="AH201" s="105" t="n"/>
      <c r="AI201" s="105">
        <f>+AC201+AE201+AG201+AH201</f>
        <v/>
      </c>
      <c r="AJ201" s="105">
        <f>+AA201-AI201</f>
        <v/>
      </c>
      <c r="AK201" s="21">
        <f>IF(Q201="ANULADA","N/A",IF(ABS(AJ201)&gt;10,"Pendiente",IF(MAX(AB201,AD201,AF201)=0,"Pendiente",MAX(0,MAX(AB201,AD201,AF201)-O201))))</f>
        <v/>
      </c>
    </row>
    <row r="202" hidden="1" ht="15" customHeight="1">
      <c r="A202" s="22" t="inlineStr">
        <is>
          <t>01-862</t>
        </is>
      </c>
      <c r="B202" s="22" t="inlineStr">
        <is>
          <t>SEMISA INFRAESTRUCTURA SA</t>
        </is>
      </c>
      <c r="C202" s="22" t="inlineStr">
        <is>
          <t>Recupero Gastos Licitación EPC-FLNG</t>
        </is>
      </c>
      <c r="D202" s="13" t="inlineStr">
        <is>
          <t>NA</t>
        </is>
      </c>
      <c r="E202" s="13" t="inlineStr">
        <is>
          <t>NA</t>
        </is>
      </c>
      <c r="F202" s="13" t="inlineStr">
        <is>
          <t>Recupero de Gastos Licitación Proyecto EPC-FLNG de gasoducto dedicado</t>
        </is>
      </c>
      <c r="G202" s="13" t="inlineStr">
        <is>
          <t>Recupero</t>
        </is>
      </c>
      <c r="H202" s="23" t="inlineStr">
        <is>
          <t>NA</t>
        </is>
      </c>
      <c r="I202" s="104" t="n"/>
      <c r="J202" s="105" t="n"/>
      <c r="K202" s="105" t="n"/>
      <c r="L202" s="13" t="inlineStr">
        <is>
          <t>Validado</t>
        </is>
      </c>
      <c r="M202" s="22" t="inlineStr">
        <is>
          <t>FC A</t>
        </is>
      </c>
      <c r="N202" s="24" t="n">
        <v>2622</v>
      </c>
      <c r="O202" s="106" t="n">
        <v>46163</v>
      </c>
      <c r="P202" s="22" t="inlineStr">
        <is>
          <t>Recupero Gastos Licit. EPC-FLNG (Gravado U$D 17.215,56 + No Gravado U$D 23.857,37 TC MEP 1.428)</t>
        </is>
      </c>
      <c r="Q202" s="39" t="inlineStr">
        <is>
          <t>NO</t>
        </is>
      </c>
      <c r="R202" s="22" t="inlineStr">
        <is>
          <t>N/A</t>
        </is>
      </c>
      <c r="S202" s="105" t="n">
        <v>58652154.08</v>
      </c>
      <c r="T202" s="105" t="n">
        <v>0</v>
      </c>
      <c r="U202" s="105" t="n">
        <v>5162603.25</v>
      </c>
      <c r="V202" s="105" t="n">
        <v>0</v>
      </c>
      <c r="W202" s="105" t="n">
        <v>0</v>
      </c>
      <c r="X202" s="105" t="n">
        <v>0</v>
      </c>
      <c r="Y202" s="105" t="n">
        <v>0</v>
      </c>
      <c r="Z202" s="105" t="n">
        <v>0</v>
      </c>
      <c r="AA202" s="105">
        <f>+S202+T202+U202+W202+X202+V202+Y202</f>
        <v/>
      </c>
      <c r="AB202" s="106" t="n">
        <v>46164</v>
      </c>
      <c r="AC202" s="22" t="n">
        <v>63814757.33</v>
      </c>
      <c r="AD202" s="22" t="n"/>
      <c r="AE202" s="105" t="n"/>
      <c r="AF202" s="22" t="n"/>
      <c r="AG202" s="105" t="n"/>
      <c r="AH202" s="105" t="n"/>
      <c r="AI202" s="105">
        <f>+AC202+AE202+AG202+AH202</f>
        <v/>
      </c>
      <c r="AJ202" s="105">
        <f>+AA202-AI202</f>
        <v/>
      </c>
      <c r="AK202" s="21">
        <f>IF(Q202="ANULADA","N/A",IF(ABS(AJ202)&gt;10,"Pendiente",IF(MAX(AB202,AD202,AF202)=0,"Pendiente",MAX(0,MAX(AB202,AD202,AF202)-O202))))</f>
        <v/>
      </c>
    </row>
    <row r="203" hidden="1" ht="15" customHeight="1">
      <c r="A203" s="22" t="inlineStr">
        <is>
          <t>01-884</t>
        </is>
      </c>
      <c r="B203" s="22" t="inlineStr">
        <is>
          <t>NOMINA GERENTES</t>
        </is>
      </c>
      <c r="C203" s="22" t="inlineStr">
        <is>
          <t>NOMINA GERENTES</t>
        </is>
      </c>
      <c r="D203" s="22" t="inlineStr">
        <is>
          <t>NOMINA GERENTES</t>
        </is>
      </c>
      <c r="E203" s="13" t="inlineStr">
        <is>
          <t>NA</t>
        </is>
      </c>
      <c r="F203" s="13" t="n"/>
      <c r="G203" s="13" t="inlineStr">
        <is>
          <t>NA</t>
        </is>
      </c>
      <c r="H203" s="13" t="inlineStr">
        <is>
          <t>NA</t>
        </is>
      </c>
      <c r="I203" s="104" t="n"/>
      <c r="J203" s="105" t="n">
        <v>10353957.49</v>
      </c>
      <c r="K203" s="105" t="n">
        <v>10353957.49</v>
      </c>
      <c r="L203" s="13" t="inlineStr">
        <is>
          <t>Validado</t>
        </is>
      </c>
      <c r="M203" s="22" t="inlineStr">
        <is>
          <t>FC A</t>
        </is>
      </c>
      <c r="N203" s="24" t="n">
        <v>2473</v>
      </c>
      <c r="O203" s="106" t="n">
        <v>45712</v>
      </c>
      <c r="P203" s="22" t="inlineStr">
        <is>
          <t>Servicio de Gerenciamiento Enero 2025. - NOMINA GERENTES (01884)</t>
        </is>
      </c>
      <c r="Q203" s="22" t="inlineStr">
        <is>
          <t>NO</t>
        </is>
      </c>
      <c r="R203" s="22" t="inlineStr">
        <is>
          <t>N/A</t>
        </is>
      </c>
      <c r="S203" s="105">
        <f>+J203</f>
        <v/>
      </c>
      <c r="T203" s="105" t="n"/>
      <c r="U203" s="105">
        <f>+S203*21%</f>
        <v/>
      </c>
      <c r="V203" s="105">
        <f>+S203*3%</f>
        <v/>
      </c>
      <c r="W203" s="105">
        <f>+S203*1.6%</f>
        <v/>
      </c>
      <c r="X203" s="105">
        <f>IF(A203="00-175",S203*0.06,0)</f>
        <v/>
      </c>
      <c r="Y203" s="105" t="n"/>
      <c r="Z203" s="105" t="n"/>
      <c r="AA203" s="105">
        <f>+S203+T203+U203+W203+X203+V203+Y203</f>
        <v/>
      </c>
      <c r="AB203" s="22" t="n"/>
      <c r="AC203" s="105" t="n"/>
      <c r="AD203" s="22" t="n"/>
      <c r="AE203" s="105" t="n"/>
      <c r="AF203" s="22" t="n"/>
      <c r="AG203" s="105" t="n"/>
      <c r="AH203" s="105" t="n"/>
      <c r="AI203" s="105">
        <f>+AC203+AE203+AG203+AH203</f>
        <v/>
      </c>
      <c r="AJ203" s="105">
        <f>+AA203-AI203</f>
        <v/>
      </c>
      <c r="AK203" s="21">
        <f>IF(Q203="ANULADA","N/A",IF(ABS(AJ203)&gt;10,"Pendiente",IF(MAX(AB203,AD203,AF203)=0,"Pendiente",MAX(0,MAX(AB203,AD203,AF203)-O203))))</f>
        <v/>
      </c>
    </row>
    <row r="204" hidden="1" ht="15" customHeight="1">
      <c r="A204" s="22" t="inlineStr">
        <is>
          <t>01-884</t>
        </is>
      </c>
      <c r="B204" s="22" t="inlineStr">
        <is>
          <t>NOMINA GERENTES</t>
        </is>
      </c>
      <c r="C204" s="22" t="inlineStr">
        <is>
          <t>NOMINA GERENTES</t>
        </is>
      </c>
      <c r="D204" s="22" t="inlineStr">
        <is>
          <t>NOMINA GERENTES</t>
        </is>
      </c>
      <c r="E204" s="13" t="inlineStr">
        <is>
          <t>NA</t>
        </is>
      </c>
      <c r="F204" s="13" t="n"/>
      <c r="G204" s="13" t="inlineStr">
        <is>
          <t>NA</t>
        </is>
      </c>
      <c r="H204" s="13" t="inlineStr">
        <is>
          <t>NA</t>
        </is>
      </c>
      <c r="I204" s="104" t="n"/>
      <c r="J204" s="105" t="n">
        <v>12148681.48</v>
      </c>
      <c r="K204" s="105" t="n">
        <v>12148681.48</v>
      </c>
      <c r="L204" s="13" t="inlineStr">
        <is>
          <t>Validado</t>
        </is>
      </c>
      <c r="M204" s="22" t="inlineStr">
        <is>
          <t>FC A</t>
        </is>
      </c>
      <c r="N204" s="24" t="n">
        <v>2474</v>
      </c>
      <c r="O204" s="106" t="n">
        <v>45715</v>
      </c>
      <c r="P204" s="22" t="inlineStr">
        <is>
          <t>Servicio de Gerenciamiento Febrero 2025. - NOMINA GERENTES (01884)</t>
        </is>
      </c>
      <c r="Q204" s="22" t="inlineStr">
        <is>
          <t>NO</t>
        </is>
      </c>
      <c r="R204" s="22" t="inlineStr">
        <is>
          <t>N/A</t>
        </is>
      </c>
      <c r="S204" s="105">
        <f>+J204</f>
        <v/>
      </c>
      <c r="T204" s="105" t="n"/>
      <c r="U204" s="105">
        <f>+S204*21%</f>
        <v/>
      </c>
      <c r="V204" s="105">
        <f>+S204*3%</f>
        <v/>
      </c>
      <c r="W204" s="105">
        <f>+S204*1.6%</f>
        <v/>
      </c>
      <c r="X204" s="105">
        <f>IF(A204="00-175",S204*0.06,0)</f>
        <v/>
      </c>
      <c r="Y204" s="105" t="n"/>
      <c r="Z204" s="105" t="n"/>
      <c r="AA204" s="105">
        <f>+S204+T204+U204+W204+X204+V204+Y204</f>
        <v/>
      </c>
      <c r="AB204" s="22" t="n"/>
      <c r="AC204" s="105" t="n"/>
      <c r="AD204" s="22" t="n"/>
      <c r="AE204" s="105" t="n"/>
      <c r="AF204" s="22" t="n"/>
      <c r="AG204" s="105" t="n"/>
      <c r="AH204" s="105" t="n"/>
      <c r="AI204" s="105">
        <f>+AC204+AE204+AG204+AH204</f>
        <v/>
      </c>
      <c r="AJ204" s="105">
        <f>+AA204-AI204</f>
        <v/>
      </c>
      <c r="AK204" s="21">
        <f>IF(Q204="ANULADA","N/A",IF(ABS(AJ204)&gt;10,"Pendiente",IF(MAX(AB204,AD204,AF204)=0,"Pendiente",MAX(0,MAX(AB204,AD204,AF204)-O204))))</f>
        <v/>
      </c>
    </row>
    <row r="205" hidden="1" ht="15" customHeight="1">
      <c r="A205" s="22" t="inlineStr">
        <is>
          <t>01-884</t>
        </is>
      </c>
      <c r="B205" s="22" t="inlineStr">
        <is>
          <t>NOMINA GERENTES</t>
        </is>
      </c>
      <c r="C205" s="22" t="inlineStr">
        <is>
          <t>NOMINA GERENTES</t>
        </is>
      </c>
      <c r="D205" s="22" t="inlineStr">
        <is>
          <t>NOMINA GERENTES</t>
        </is>
      </c>
      <c r="E205" s="13" t="inlineStr">
        <is>
          <t>NA</t>
        </is>
      </c>
      <c r="F205" s="13" t="n"/>
      <c r="G205" s="13" t="inlineStr">
        <is>
          <t>NA</t>
        </is>
      </c>
      <c r="H205" s="13" t="inlineStr">
        <is>
          <t>NA</t>
        </is>
      </c>
      <c r="I205" s="104" t="n"/>
      <c r="J205" s="105" t="n">
        <v>12942756.87</v>
      </c>
      <c r="K205" s="105" t="n">
        <v>12942756.87</v>
      </c>
      <c r="L205" s="13" t="inlineStr">
        <is>
          <t>Validado</t>
        </is>
      </c>
      <c r="M205" s="22" t="inlineStr">
        <is>
          <t>FC A</t>
        </is>
      </c>
      <c r="N205" s="24" t="n">
        <v>2478</v>
      </c>
      <c r="O205" s="106" t="n">
        <v>45792</v>
      </c>
      <c r="P205" s="22" t="inlineStr">
        <is>
          <t>Servicio de Gerenciamiento Abril 2025. - NOMINA GERENTES (01884)</t>
        </is>
      </c>
      <c r="Q205" s="22" t="inlineStr">
        <is>
          <t>NO</t>
        </is>
      </c>
      <c r="R205" s="22" t="inlineStr">
        <is>
          <t>N/A</t>
        </is>
      </c>
      <c r="S205" s="105">
        <f>+J205</f>
        <v/>
      </c>
      <c r="T205" s="105" t="n"/>
      <c r="U205" s="105">
        <f>+S205*21%</f>
        <v/>
      </c>
      <c r="V205" s="105">
        <f>+S205*3%</f>
        <v/>
      </c>
      <c r="W205" s="105">
        <f>+S205*1.6%</f>
        <v/>
      </c>
      <c r="X205" s="105">
        <f>IF(A205="00-175",S205*0.06,0)</f>
        <v/>
      </c>
      <c r="Y205" s="105">
        <f>+(S205+U205+V205+W205)*3.5%</f>
        <v/>
      </c>
      <c r="Z205" s="105" t="n"/>
      <c r="AA205" s="105">
        <f>+S205+T205+U205+W205+X205+V205+Y205</f>
        <v/>
      </c>
      <c r="AB205" s="22" t="n"/>
      <c r="AC205" s="105" t="n"/>
      <c r="AD205" s="22" t="n"/>
      <c r="AE205" s="105" t="n"/>
      <c r="AF205" s="22" t="n"/>
      <c r="AG205" s="105" t="n"/>
      <c r="AH205" s="105" t="n"/>
      <c r="AI205" s="105">
        <f>+AC205+AE205+AG205+AH205</f>
        <v/>
      </c>
      <c r="AJ205" s="105">
        <f>+AA205-AI205</f>
        <v/>
      </c>
      <c r="AK205" s="21">
        <f>IF(Q205="ANULADA","N/A",IF(ABS(AJ205)&gt;10,"Pendiente",IF(MAX(AB205,AD205,AF205)=0,"Pendiente",MAX(0,MAX(AB205,AD205,AF205)-O205))))</f>
        <v/>
      </c>
    </row>
    <row r="206" hidden="1" ht="15" customHeight="1">
      <c r="A206" s="22" t="inlineStr">
        <is>
          <t>01-884</t>
        </is>
      </c>
      <c r="B206" s="22" t="inlineStr">
        <is>
          <t>NOMINA GERENTES</t>
        </is>
      </c>
      <c r="C206" s="22" t="inlineStr">
        <is>
          <t>NOMINA GERENTES</t>
        </is>
      </c>
      <c r="D206" s="22" t="inlineStr">
        <is>
          <t>NOMINA GERENTES</t>
        </is>
      </c>
      <c r="E206" s="13" t="inlineStr">
        <is>
          <t>NA</t>
        </is>
      </c>
      <c r="F206" s="13" t="n"/>
      <c r="G206" s="13" t="inlineStr">
        <is>
          <t>NA</t>
        </is>
      </c>
      <c r="H206" s="13" t="inlineStr">
        <is>
          <t>NA</t>
        </is>
      </c>
      <c r="I206" s="104" t="n"/>
      <c r="J206" s="105" t="n">
        <v>16152432.75</v>
      </c>
      <c r="K206" s="105" t="n">
        <v>16152432.75</v>
      </c>
      <c r="L206" s="13" t="inlineStr">
        <is>
          <t>Validado</t>
        </is>
      </c>
      <c r="M206" s="22" t="inlineStr">
        <is>
          <t>FC A</t>
        </is>
      </c>
      <c r="N206" s="24" t="n">
        <v>2479</v>
      </c>
      <c r="O206" s="106" t="n">
        <v>45792</v>
      </c>
      <c r="P206" s="22" t="inlineStr">
        <is>
          <t>Servicio de Gerenciamiento Marzo 2025. - NOMINA GERENTES (01884)</t>
        </is>
      </c>
      <c r="Q206" s="22" t="inlineStr">
        <is>
          <t>NO</t>
        </is>
      </c>
      <c r="R206" s="22" t="inlineStr">
        <is>
          <t>N/A</t>
        </is>
      </c>
      <c r="S206" s="105">
        <f>+J206</f>
        <v/>
      </c>
      <c r="T206" s="105" t="n"/>
      <c r="U206" s="105">
        <f>+S206*21%</f>
        <v/>
      </c>
      <c r="V206" s="105">
        <f>+S206*3%</f>
        <v/>
      </c>
      <c r="W206" s="105">
        <f>+S206*1.6%</f>
        <v/>
      </c>
      <c r="X206" s="105">
        <f>IF(A206="00-175",S206*0.06,0)</f>
        <v/>
      </c>
      <c r="Y206" s="105">
        <f>+(S206+U206+V206+W206)*3.5%</f>
        <v/>
      </c>
      <c r="Z206" s="105" t="n"/>
      <c r="AA206" s="105">
        <f>+S206+T206+U206+W206+X206+V206+Y206</f>
        <v/>
      </c>
      <c r="AB206" s="22" t="n"/>
      <c r="AC206" s="105" t="n"/>
      <c r="AD206" s="22" t="n"/>
      <c r="AE206" s="105" t="n"/>
      <c r="AF206" s="22" t="n"/>
      <c r="AG206" s="105" t="n"/>
      <c r="AH206" s="105" t="n"/>
      <c r="AI206" s="105">
        <f>+AC206+AE206+AG206+AH206</f>
        <v/>
      </c>
      <c r="AJ206" s="105">
        <f>+AA206-AI206</f>
        <v/>
      </c>
      <c r="AK206" s="21">
        <f>IF(Q206="ANULADA","N/A",IF(ABS(AJ206)&gt;10,"Pendiente",IF(MAX(AB206,AD206,AF206)=0,"Pendiente",MAX(0,MAX(AB206,AD206,AF206)-O206))))</f>
        <v/>
      </c>
    </row>
    <row r="207" hidden="1" ht="15" customHeight="1">
      <c r="A207" s="22" t="inlineStr">
        <is>
          <t>01-884</t>
        </is>
      </c>
      <c r="B207" s="22" t="inlineStr">
        <is>
          <t>NOMINA GERENTES</t>
        </is>
      </c>
      <c r="C207" s="22" t="inlineStr">
        <is>
          <t>NOMINA GERENTES</t>
        </is>
      </c>
      <c r="D207" s="22" t="inlineStr">
        <is>
          <t>NOMINA GERENTES</t>
        </is>
      </c>
      <c r="E207" s="13" t="inlineStr">
        <is>
          <t>NA</t>
        </is>
      </c>
      <c r="F207" s="13" t="n"/>
      <c r="G207" s="13" t="inlineStr">
        <is>
          <t>NA</t>
        </is>
      </c>
      <c r="H207" s="13" t="inlineStr">
        <is>
          <t>NA</t>
        </is>
      </c>
      <c r="I207" s="104" t="n"/>
      <c r="J207" s="105" t="n">
        <v>12942808.87</v>
      </c>
      <c r="K207" s="105" t="n">
        <v>12942808.87</v>
      </c>
      <c r="L207" s="13" t="inlineStr">
        <is>
          <t>Validado</t>
        </is>
      </c>
      <c r="M207" s="22" t="inlineStr">
        <is>
          <t>FC A</t>
        </is>
      </c>
      <c r="N207" s="24" t="n">
        <v>2480</v>
      </c>
      <c r="O207" s="106" t="n">
        <v>45807</v>
      </c>
      <c r="P207" s="22" t="inlineStr">
        <is>
          <t>Servicio de Gerenciamiento Mayo 2025. - NOMINA GERENTES (01884)</t>
        </is>
      </c>
      <c r="Q207" s="22" t="inlineStr">
        <is>
          <t>NO</t>
        </is>
      </c>
      <c r="R207" s="22" t="inlineStr">
        <is>
          <t>N/A</t>
        </is>
      </c>
      <c r="S207" s="105">
        <f>+J207</f>
        <v/>
      </c>
      <c r="T207" s="105" t="n"/>
      <c r="U207" s="105">
        <f>+S207*21%</f>
        <v/>
      </c>
      <c r="V207" s="105">
        <f>+S207*3%</f>
        <v/>
      </c>
      <c r="W207" s="105">
        <f>+S207*1.6%</f>
        <v/>
      </c>
      <c r="X207" s="105">
        <f>IF(A207="00-175",S207*0.06,0)</f>
        <v/>
      </c>
      <c r="Y207" s="105">
        <f>+(S207+U207+V207+W207)*3.5%</f>
        <v/>
      </c>
      <c r="Z207" s="105" t="n"/>
      <c r="AA207" s="105">
        <f>+S207+T207+U207+W207+X207+V207+Y207</f>
        <v/>
      </c>
      <c r="AB207" s="22" t="n"/>
      <c r="AC207" s="105" t="n"/>
      <c r="AD207" s="22" t="n"/>
      <c r="AE207" s="105" t="n"/>
      <c r="AF207" s="22" t="n"/>
      <c r="AG207" s="105" t="n"/>
      <c r="AH207" s="105" t="n"/>
      <c r="AI207" s="105">
        <f>+AC207+AE207+AG207+AH207</f>
        <v/>
      </c>
      <c r="AJ207" s="105">
        <f>+AA207-AI207</f>
        <v/>
      </c>
      <c r="AK207" s="21">
        <f>IF(Q207="ANULADA","N/A",IF(ABS(AJ207)&gt;10,"Pendiente",IF(MAX(AB207,AD207,AF207)=0,"Pendiente",MAX(0,MAX(AB207,AD207,AF207)-O207))))</f>
        <v/>
      </c>
    </row>
    <row r="208" hidden="1" ht="15" customHeight="1">
      <c r="A208" s="22" t="inlineStr">
        <is>
          <t>01-884</t>
        </is>
      </c>
      <c r="B208" s="22" t="inlineStr">
        <is>
          <t>NOMINA GERENTES</t>
        </is>
      </c>
      <c r="C208" s="22" t="inlineStr">
        <is>
          <t>NOMINA GERENTES</t>
        </is>
      </c>
      <c r="D208" s="22" t="inlineStr">
        <is>
          <t>NOMINA GERENTES</t>
        </is>
      </c>
      <c r="E208" s="13" t="inlineStr">
        <is>
          <t>NA</t>
        </is>
      </c>
      <c r="F208" s="13" t="n"/>
      <c r="G208" s="13" t="inlineStr">
        <is>
          <t>NA</t>
        </is>
      </c>
      <c r="H208" s="13" t="inlineStr">
        <is>
          <t>NA</t>
        </is>
      </c>
      <c r="I208" s="104" t="n"/>
      <c r="J208" s="105" t="n">
        <v>19413407.47</v>
      </c>
      <c r="K208" s="105" t="n">
        <v>19413407.47</v>
      </c>
      <c r="L208" s="13" t="inlineStr">
        <is>
          <t>Validado</t>
        </is>
      </c>
      <c r="M208" s="22" t="inlineStr">
        <is>
          <t>FC A</t>
        </is>
      </c>
      <c r="N208" s="24" t="n">
        <v>2484</v>
      </c>
      <c r="O208" s="106" t="n">
        <v>45664</v>
      </c>
      <c r="P208" s="22" t="inlineStr">
        <is>
          <t>Servicio de Gerenciamiento Junio 2025. - NOMINA GERENTES (01884)</t>
        </is>
      </c>
      <c r="Q208" s="22" t="inlineStr">
        <is>
          <t>NO</t>
        </is>
      </c>
      <c r="R208" s="22" t="inlineStr">
        <is>
          <t>N/A</t>
        </is>
      </c>
      <c r="S208" s="105">
        <f>+J208</f>
        <v/>
      </c>
      <c r="T208" s="105" t="n"/>
      <c r="U208" s="105">
        <f>+S208*0.21</f>
        <v/>
      </c>
      <c r="V208" s="105">
        <f>+S208*3%</f>
        <v/>
      </c>
      <c r="W208" s="105" t="n">
        <v>0</v>
      </c>
      <c r="X208" s="105">
        <f>IF(A208="00-175",U208*0.06,0)</f>
        <v/>
      </c>
      <c r="Y208" s="105" t="n">
        <v>0</v>
      </c>
      <c r="Z208" s="105" t="n"/>
      <c r="AA208" s="105">
        <f>+S208+T208+U208+W208+X208+V208+Y208</f>
        <v/>
      </c>
      <c r="AB208" s="22" t="n"/>
      <c r="AC208" s="105" t="n"/>
      <c r="AD208" s="22" t="n"/>
      <c r="AE208" s="105" t="n"/>
      <c r="AF208" s="22" t="n"/>
      <c r="AG208" s="105" t="n"/>
      <c r="AH208" s="105" t="n"/>
      <c r="AI208" s="105">
        <f>+AC208+AE208+AG208+AH208</f>
        <v/>
      </c>
      <c r="AJ208" s="105">
        <f>+AA208-AI208</f>
        <v/>
      </c>
      <c r="AK208" s="21">
        <f>IF(Q208="ANULADA","N/A",IF(ABS(AJ208)&gt;10,"Pendiente",IF(MAX(AB208,AD208,AF208)=0,"Pendiente",MAX(0,MAX(AB208,AD208,AF208)-O208))))</f>
        <v/>
      </c>
    </row>
    <row r="209" hidden="1" ht="15" customHeight="1">
      <c r="A209" s="46" t="inlineStr">
        <is>
          <t>01-884</t>
        </is>
      </c>
      <c r="B209" s="22" t="inlineStr">
        <is>
          <t>NOMINA GERENTES</t>
        </is>
      </c>
      <c r="C209" s="46" t="inlineStr">
        <is>
          <t>NOMINA GERENTES</t>
        </is>
      </c>
      <c r="D209" s="22" t="inlineStr">
        <is>
          <t>NOMINA GERENTES</t>
        </is>
      </c>
      <c r="E209" s="13" t="inlineStr">
        <is>
          <t>NA</t>
        </is>
      </c>
      <c r="F209" s="13" t="n"/>
      <c r="G209" s="13" t="inlineStr">
        <is>
          <t>NA</t>
        </is>
      </c>
      <c r="H209" s="13" t="inlineStr">
        <is>
          <t>NA</t>
        </is>
      </c>
      <c r="I209" s="104" t="n"/>
      <c r="J209" s="105" t="n">
        <v>13706484.2</v>
      </c>
      <c r="K209" s="105" t="n">
        <v>13706484.2</v>
      </c>
      <c r="L209" s="13" t="inlineStr">
        <is>
          <t>Validado</t>
        </is>
      </c>
      <c r="M209" s="46" t="inlineStr">
        <is>
          <t>FC A</t>
        </is>
      </c>
      <c r="N209" s="47" t="n">
        <v>2489</v>
      </c>
      <c r="O209" s="106" t="n">
        <v>45869</v>
      </c>
      <c r="P209" s="46" t="inlineStr">
        <is>
          <t>Servicio de Gerenciamiento Julio 2025. - NOMINA GERENTES (01884)</t>
        </is>
      </c>
      <c r="Q209" s="48" t="inlineStr">
        <is>
          <t>NO</t>
        </is>
      </c>
      <c r="R209" s="48" t="inlineStr">
        <is>
          <t>N/A</t>
        </is>
      </c>
      <c r="S209" s="105">
        <f>+J209</f>
        <v/>
      </c>
      <c r="T209" s="105" t="n"/>
      <c r="U209" s="105">
        <f>+S209*21%</f>
        <v/>
      </c>
      <c r="V209" s="105">
        <f>+S209*3%</f>
        <v/>
      </c>
      <c r="W209" s="105" t="n">
        <v>0</v>
      </c>
      <c r="X209" s="105">
        <f>IF(A209="00-175",U209*0.06,0)</f>
        <v/>
      </c>
      <c r="Y209" s="105" t="n">
        <v>0</v>
      </c>
      <c r="Z209" s="105" t="n"/>
      <c r="AA209" s="105">
        <f>+S209+T209+U209+W209+X209+V209+Y209</f>
        <v/>
      </c>
      <c r="AB209" s="118" t="n">
        <v>45877</v>
      </c>
      <c r="AC209" s="105">
        <f>178184.29+16817856.12</f>
        <v/>
      </c>
      <c r="AD209" s="20" t="n"/>
      <c r="AE209" s="105" t="n"/>
      <c r="AF209" s="46" t="n"/>
      <c r="AG209" s="105" t="n"/>
      <c r="AH209" s="105" t="n"/>
      <c r="AI209" s="105">
        <f>+AC209+AE209+AG209+AH209</f>
        <v/>
      </c>
      <c r="AJ209" s="105">
        <f>+AA209-AI209</f>
        <v/>
      </c>
      <c r="AK209" s="21">
        <f>IF(Q209="ANULADA","N/A",IF(ABS(AJ209)&gt;10,"Pendiente",IF(MAX(AB209,AD209,AF209)=0,"Pendiente",MAX(0,MAX(AB209,AD209,AF209)-O209))))</f>
        <v/>
      </c>
    </row>
    <row r="210" hidden="1" ht="15" customHeight="1">
      <c r="A210" s="22" t="inlineStr">
        <is>
          <t>01-884</t>
        </is>
      </c>
      <c r="B210" s="22" t="inlineStr">
        <is>
          <t>NOMINA GERENTES</t>
        </is>
      </c>
      <c r="C210" s="22" t="inlineStr">
        <is>
          <t>NOMINA GERENTES</t>
        </is>
      </c>
      <c r="D210" s="22" t="inlineStr">
        <is>
          <t>NOMINA GERENTES</t>
        </is>
      </c>
      <c r="E210" s="13" t="inlineStr">
        <is>
          <t>NA</t>
        </is>
      </c>
      <c r="F210" s="13" t="n"/>
      <c r="G210" s="13" t="inlineStr">
        <is>
          <t>NA</t>
        </is>
      </c>
      <c r="H210" s="13" t="inlineStr">
        <is>
          <t>NA</t>
        </is>
      </c>
      <c r="I210" s="104" t="n"/>
      <c r="J210" s="105" t="n">
        <v>13706523.2</v>
      </c>
      <c r="K210" s="105" t="n">
        <v>13706523.2</v>
      </c>
      <c r="L210" s="13" t="inlineStr">
        <is>
          <t>Validado</t>
        </is>
      </c>
      <c r="M210" s="22" t="inlineStr">
        <is>
          <t>FC A</t>
        </is>
      </c>
      <c r="N210" s="24" t="n">
        <v>2497</v>
      </c>
      <c r="O210" s="106" t="n">
        <v>45897</v>
      </c>
      <c r="P210" s="22" t="inlineStr">
        <is>
          <t>Servicio de Gerenciamiento Agosto 2025. - NOMINA GERENTES (01884)</t>
        </is>
      </c>
      <c r="Q210" s="22" t="inlineStr">
        <is>
          <t>NO</t>
        </is>
      </c>
      <c r="R210" s="22" t="inlineStr">
        <is>
          <t>N/A</t>
        </is>
      </c>
      <c r="S210" s="105">
        <f>+J210</f>
        <v/>
      </c>
      <c r="T210" s="105" t="n"/>
      <c r="U210" s="105">
        <f>+S210*21%</f>
        <v/>
      </c>
      <c r="V210" s="105">
        <f>+S210*3%</f>
        <v/>
      </c>
      <c r="W210" s="105" t="n">
        <v>0</v>
      </c>
      <c r="X210" s="105">
        <f>IF(A210="00-175",U210*0.06,0)</f>
        <v/>
      </c>
      <c r="Y210" s="105" t="n">
        <v>0</v>
      </c>
      <c r="Z210" s="105" t="n"/>
      <c r="AA210" s="105">
        <f>+S210+T210+U210+W210+X210+V210+Y210</f>
        <v/>
      </c>
      <c r="AB210" s="22" t="n"/>
      <c r="AC210" s="105" t="n"/>
      <c r="AD210" s="22" t="n"/>
      <c r="AE210" s="105" t="n"/>
      <c r="AF210" s="22" t="n"/>
      <c r="AG210" s="105" t="n"/>
      <c r="AH210" s="105" t="n"/>
      <c r="AI210" s="105">
        <f>+AC210+AE210+AG210+AH210</f>
        <v/>
      </c>
      <c r="AJ210" s="105">
        <f>+AA210-AI210</f>
        <v/>
      </c>
      <c r="AK210" s="21">
        <f>IF(Q210="ANULADA","N/A",IF(ABS(AJ210)&gt;10,"Pendiente",IF(MAX(AB210,AD210,AF210)=0,"Pendiente",MAX(0,MAX(AB210,AD210,AF210)-O210))))</f>
        <v/>
      </c>
    </row>
    <row r="211" hidden="1" ht="15" customHeight="1">
      <c r="A211" s="22" t="inlineStr">
        <is>
          <t>01-884</t>
        </is>
      </c>
      <c r="B211" s="22" t="inlineStr">
        <is>
          <t>NOMINA GERENTES</t>
        </is>
      </c>
      <c r="C211" s="22" t="inlineStr">
        <is>
          <t>NOMINA GERENTES</t>
        </is>
      </c>
      <c r="D211" s="22" t="inlineStr">
        <is>
          <t>NOMINA GERENTES</t>
        </is>
      </c>
      <c r="E211" s="13" t="inlineStr">
        <is>
          <t>NA</t>
        </is>
      </c>
      <c r="F211" s="13" t="n"/>
      <c r="G211" s="13" t="inlineStr">
        <is>
          <t>NA</t>
        </is>
      </c>
      <c r="H211" s="13" t="inlineStr">
        <is>
          <t>NA</t>
        </is>
      </c>
      <c r="I211" s="104" t="n"/>
      <c r="J211" s="105" t="n">
        <v>20773198.86</v>
      </c>
      <c r="K211" s="105" t="n">
        <v>20773198.86</v>
      </c>
      <c r="L211" s="13" t="inlineStr">
        <is>
          <t>Validado</t>
        </is>
      </c>
      <c r="M211" s="22" t="inlineStr">
        <is>
          <t>FC A</t>
        </is>
      </c>
      <c r="N211" s="24" t="n">
        <v>2516</v>
      </c>
      <c r="O211" s="106" t="n">
        <v>45930</v>
      </c>
      <c r="P211" s="22" t="inlineStr">
        <is>
          <t>Servicio de Gerenciamiento Septiembre 2025. - NOMINA GERENTES (01884)</t>
        </is>
      </c>
      <c r="Q211" s="22" t="inlineStr">
        <is>
          <t>NO</t>
        </is>
      </c>
      <c r="R211" s="22" t="inlineStr">
        <is>
          <t>N/A</t>
        </is>
      </c>
      <c r="S211" s="105">
        <f>+J211</f>
        <v/>
      </c>
      <c r="T211" s="105" t="n"/>
      <c r="U211" s="105">
        <f>+S211*21%</f>
        <v/>
      </c>
      <c r="V211" s="105">
        <f>+S211*3%</f>
        <v/>
      </c>
      <c r="W211" s="105" t="n">
        <v>0</v>
      </c>
      <c r="X211" s="105">
        <f>IF(A211="00-175",U211*0.06,0)</f>
        <v/>
      </c>
      <c r="Y211" s="105" t="n">
        <v>0</v>
      </c>
      <c r="Z211" s="105" t="n"/>
      <c r="AA211" s="105">
        <f>+S211+T211+U211+W211+X211+V211+Y211</f>
        <v/>
      </c>
      <c r="AB211" s="106" t="n"/>
      <c r="AC211" s="105" t="n"/>
      <c r="AD211" s="22" t="n"/>
      <c r="AE211" s="105" t="n"/>
      <c r="AF211" s="22" t="n"/>
      <c r="AG211" s="105" t="n"/>
      <c r="AH211" s="105" t="n"/>
      <c r="AI211" s="105">
        <f>+AC211+AE211+AG211+AH211</f>
        <v/>
      </c>
      <c r="AJ211" s="105">
        <f>+AA211-AI211</f>
        <v/>
      </c>
      <c r="AK211" s="21">
        <f>IF(Q211="ANULADA","N/A",IF(ABS(AJ211)&gt;10,"Pendiente",IF(MAX(AB211,AD211,AF211)=0,"Pendiente",MAX(0,MAX(AB211,AD211,AF211)-O211))))</f>
        <v/>
      </c>
    </row>
    <row r="212" hidden="1" ht="15" customHeight="1">
      <c r="A212" s="22" t="n"/>
      <c r="B212" s="22" t="n"/>
      <c r="C212" s="22" t="n"/>
      <c r="D212" s="13" t="n"/>
      <c r="E212" s="13" t="n"/>
      <c r="F212" s="13" t="n"/>
      <c r="G212" s="13" t="n"/>
      <c r="H212" s="23" t="n"/>
      <c r="I212" s="104" t="n"/>
      <c r="J212" s="105" t="n"/>
      <c r="K212" s="105" t="n"/>
      <c r="L212" s="13" t="n"/>
      <c r="M212" s="22" t="n"/>
      <c r="N212" s="24" t="n"/>
      <c r="O212" s="106" t="n"/>
      <c r="P212" s="22" t="n"/>
      <c r="Q212" s="39" t="n"/>
      <c r="R212" s="22" t="n"/>
      <c r="S212" s="105">
        <f>+J212</f>
        <v/>
      </c>
      <c r="T212" s="105" t="n"/>
      <c r="U212" s="105" t="n"/>
      <c r="V212" s="105" t="n"/>
      <c r="W212" s="105" t="n"/>
      <c r="X212" s="105" t="n"/>
      <c r="Y212" s="105" t="n"/>
      <c r="Z212" s="105" t="n"/>
      <c r="AA212" s="105" t="n"/>
      <c r="AB212" s="22" t="n"/>
      <c r="AC212" s="105" t="n"/>
      <c r="AD212" s="22" t="n"/>
      <c r="AE212" s="105" t="n"/>
      <c r="AF212" s="22" t="n"/>
      <c r="AG212" s="105" t="n"/>
      <c r="AH212" s="105" t="n"/>
      <c r="AI212" s="105" t="n"/>
      <c r="AJ212" s="105" t="n"/>
      <c r="AK212" s="21">
        <f>IF(Q212="ANULADA","N/A",IF(ABS(AJ212)&gt;10,"Pendiente",IF(MAX(AB212,AD212,AF212)=0,"Pendiente",MAX(0,MAX(AB212,AD212,AF212)-O212))))</f>
        <v/>
      </c>
    </row>
    <row r="213" hidden="1" ht="15" customHeight="1">
      <c r="A213" s="22" t="n"/>
      <c r="B213" s="22" t="n"/>
      <c r="C213" s="22" t="n"/>
      <c r="D213" s="13" t="n"/>
      <c r="E213" s="13" t="n"/>
      <c r="F213" s="13" t="n"/>
      <c r="G213" s="13" t="n"/>
      <c r="H213" s="23" t="n"/>
      <c r="I213" s="104" t="n"/>
      <c r="J213" s="105" t="n"/>
      <c r="K213" s="105" t="n"/>
      <c r="L213" s="13" t="n"/>
      <c r="M213" s="22" t="n"/>
      <c r="N213" s="24" t="n"/>
      <c r="O213" s="106" t="n"/>
      <c r="P213" s="22" t="n"/>
      <c r="Q213" s="22" t="n"/>
      <c r="R213" s="22" t="n"/>
      <c r="S213" s="105">
        <f>+J213</f>
        <v/>
      </c>
      <c r="T213" s="105" t="n"/>
      <c r="U213" s="105" t="n"/>
      <c r="V213" s="105" t="n"/>
      <c r="W213" s="105" t="n"/>
      <c r="X213" s="105" t="n"/>
      <c r="Y213" s="105" t="n"/>
      <c r="Z213" s="105" t="n"/>
      <c r="AA213" s="105" t="n"/>
      <c r="AB213" s="22" t="n"/>
      <c r="AC213" s="105" t="n"/>
      <c r="AD213" s="22" t="n"/>
      <c r="AE213" s="105" t="n"/>
      <c r="AF213" s="22" t="n"/>
      <c r="AG213" s="105" t="n"/>
      <c r="AH213" s="105" t="n"/>
      <c r="AI213" s="105" t="n"/>
      <c r="AJ213" s="105" t="n"/>
      <c r="AK213" s="21">
        <f>IF(Q213="ANULADA","N/A",IF(ABS(AJ213)&gt;10,"Pendiente",IF(MAX(AB213,AD213,AF213)=0,"Pendiente",MAX(0,MAX(AB213,AD213,AF213)-O213))))</f>
        <v/>
      </c>
    </row>
    <row r="214" hidden="1" ht="15" customHeight="1">
      <c r="A214" s="22" t="n"/>
      <c r="B214" s="22" t="n"/>
      <c r="C214" s="22" t="n"/>
      <c r="D214" s="13" t="n"/>
      <c r="E214" s="13" t="n"/>
      <c r="F214" s="13" t="n"/>
      <c r="G214" s="13" t="n"/>
      <c r="H214" s="23" t="n"/>
      <c r="I214" s="104" t="n"/>
      <c r="J214" s="105" t="n"/>
      <c r="K214" s="105" t="n"/>
      <c r="L214" s="13" t="n"/>
      <c r="M214" s="22" t="n"/>
      <c r="N214" s="24" t="n"/>
      <c r="O214" s="106" t="n"/>
      <c r="P214" s="22" t="n"/>
      <c r="Q214" s="22" t="n"/>
      <c r="R214" s="22" t="n"/>
      <c r="S214" s="105">
        <f>+J214</f>
        <v/>
      </c>
      <c r="T214" s="105" t="n"/>
      <c r="U214" s="105" t="n"/>
      <c r="V214" s="105" t="n"/>
      <c r="W214" s="105" t="n"/>
      <c r="X214" s="105" t="n"/>
      <c r="Y214" s="105" t="n"/>
      <c r="Z214" s="105" t="n"/>
      <c r="AA214" s="105" t="n"/>
      <c r="AB214" s="22" t="n"/>
      <c r="AC214" s="105" t="n"/>
      <c r="AD214" s="22" t="n"/>
      <c r="AE214" s="105" t="n"/>
      <c r="AF214" s="22" t="n"/>
      <c r="AG214" s="105" t="n"/>
      <c r="AH214" s="105" t="n"/>
      <c r="AI214" s="105" t="n"/>
      <c r="AJ214" s="105" t="n"/>
      <c r="AK214" s="21">
        <f>IF(Q214="ANULADA","N/A",IF(ABS(AJ214)&gt;10,"Pendiente",IF(MAX(AB214,AD214,AF214)=0,"Pendiente",MAX(0,MAX(AB214,AD214,AF214)-O214))))</f>
        <v/>
      </c>
    </row>
    <row r="215" hidden="1" ht="15" customHeight="1">
      <c r="A215" s="22" t="n"/>
      <c r="B215" s="22" t="n"/>
      <c r="C215" s="22" t="n"/>
      <c r="D215" s="13" t="n"/>
      <c r="E215" s="13" t="n"/>
      <c r="F215" s="13" t="n"/>
      <c r="G215" s="13" t="n"/>
      <c r="H215" s="23" t="n"/>
      <c r="I215" s="104" t="n"/>
      <c r="J215" s="105" t="n"/>
      <c r="K215" s="105" t="n"/>
      <c r="L215" s="13" t="n"/>
      <c r="M215" s="22" t="n"/>
      <c r="N215" s="24" t="n"/>
      <c r="O215" s="106" t="n"/>
      <c r="P215" s="22" t="n"/>
      <c r="Q215" s="22" t="n"/>
      <c r="R215" s="22" t="n"/>
      <c r="S215" s="105">
        <f>+J215</f>
        <v/>
      </c>
      <c r="T215" s="105" t="n"/>
      <c r="U215" s="105" t="n"/>
      <c r="V215" s="105" t="n"/>
      <c r="W215" s="105" t="n"/>
      <c r="X215" s="105" t="n"/>
      <c r="Y215" s="105" t="n"/>
      <c r="Z215" s="105" t="n"/>
      <c r="AA215" s="105" t="n"/>
      <c r="AB215" s="22" t="n"/>
      <c r="AC215" s="105" t="n"/>
      <c r="AD215" s="22" t="n"/>
      <c r="AE215" s="105" t="n"/>
      <c r="AF215" s="22" t="n"/>
      <c r="AG215" s="105" t="n"/>
      <c r="AH215" s="105" t="n"/>
      <c r="AI215" s="105" t="n"/>
      <c r="AJ215" s="105" t="n"/>
      <c r="AK215" s="21">
        <f>IF(Q215="ANULADA","N/A",IF(ABS(AJ215)&gt;10,"Pendiente",IF(MAX(AB215,AD215,AF215)=0,"Pendiente",MAX(0,MAX(AB215,AD215,AF215)-O215))))</f>
        <v/>
      </c>
    </row>
    <row r="216" hidden="1" ht="15" customHeight="1">
      <c r="A216" s="22" t="n"/>
      <c r="B216" s="22" t="n"/>
      <c r="C216" s="22" t="n"/>
      <c r="D216" s="13" t="n"/>
      <c r="E216" s="13" t="n"/>
      <c r="F216" s="13" t="n"/>
      <c r="G216" s="13" t="n"/>
      <c r="H216" s="23" t="n"/>
      <c r="I216" s="104" t="n"/>
      <c r="J216" s="105" t="n"/>
      <c r="K216" s="105" t="n"/>
      <c r="L216" s="13" t="n"/>
      <c r="M216" s="22" t="n"/>
      <c r="N216" s="24" t="n"/>
      <c r="O216" s="106" t="n"/>
      <c r="P216" s="22" t="n"/>
      <c r="Q216" s="39" t="n"/>
      <c r="R216" s="22" t="n"/>
      <c r="S216" s="105">
        <f>+J216</f>
        <v/>
      </c>
      <c r="T216" s="105" t="n"/>
      <c r="U216" s="105" t="n"/>
      <c r="V216" s="105" t="n"/>
      <c r="W216" s="105" t="n"/>
      <c r="X216" s="105" t="n"/>
      <c r="Y216" s="105" t="n"/>
      <c r="Z216" s="105" t="n"/>
      <c r="AA216" s="105" t="n"/>
      <c r="AB216" s="22" t="n"/>
      <c r="AC216" s="105" t="n"/>
      <c r="AD216" s="22" t="n"/>
      <c r="AE216" s="105" t="n"/>
      <c r="AF216" s="22" t="n"/>
      <c r="AG216" s="105" t="n"/>
      <c r="AH216" s="105" t="n"/>
      <c r="AI216" s="105" t="n"/>
      <c r="AJ216" s="105" t="n"/>
      <c r="AK216" s="21">
        <f>IF(Q216="ANULADA","N/A",IF(ABS(AJ216)&gt;10,"Pendiente",IF(MAX(AB216,AD216,AF216)=0,"Pendiente",MAX(0,MAX(AB216,AD216,AF216)-O216))))</f>
        <v/>
      </c>
    </row>
    <row r="217" hidden="1" ht="15" customHeight="1">
      <c r="A217" s="22" t="n"/>
      <c r="B217" s="22" t="n"/>
      <c r="C217" s="22" t="n"/>
      <c r="D217" s="13" t="n"/>
      <c r="E217" s="13" t="n"/>
      <c r="F217" s="13" t="n"/>
      <c r="G217" s="13" t="n"/>
      <c r="H217" s="23" t="n"/>
      <c r="I217" s="104" t="n"/>
      <c r="J217" s="105" t="n"/>
      <c r="K217" s="105" t="n"/>
      <c r="L217" s="13" t="n"/>
      <c r="M217" s="22" t="n"/>
      <c r="N217" s="24" t="n"/>
      <c r="O217" s="106" t="n"/>
      <c r="P217" s="22" t="n"/>
      <c r="Q217" s="22" t="n"/>
      <c r="R217" s="22" t="n"/>
      <c r="S217" s="105">
        <f>+J217</f>
        <v/>
      </c>
      <c r="T217" s="105" t="n"/>
      <c r="U217" s="105" t="n"/>
      <c r="V217" s="105" t="n"/>
      <c r="W217" s="105" t="n"/>
      <c r="X217" s="105" t="n"/>
      <c r="Y217" s="105" t="n"/>
      <c r="Z217" s="105" t="n"/>
      <c r="AA217" s="105" t="n"/>
      <c r="AB217" s="22" t="n"/>
      <c r="AC217" s="105" t="n"/>
      <c r="AD217" s="22" t="n"/>
      <c r="AE217" s="105" t="n"/>
      <c r="AF217" s="22" t="n"/>
      <c r="AG217" s="105" t="n"/>
      <c r="AH217" s="105" t="n"/>
      <c r="AI217" s="105" t="n"/>
      <c r="AJ217" s="105" t="n"/>
      <c r="AK217" s="21">
        <f>IF(Q217="ANULADA","N/A",IF(ABS(AJ217)&gt;10,"Pendiente",IF(MAX(AB217,AD217,AF217)=0,"Pendiente",MAX(0,MAX(AB217,AD217,AF217)-O217))))</f>
        <v/>
      </c>
    </row>
    <row r="218" hidden="1" ht="15" customHeight="1">
      <c r="A218" s="22" t="n"/>
      <c r="B218" s="22" t="n"/>
      <c r="C218" s="22" t="n"/>
      <c r="D218" s="13" t="n"/>
      <c r="E218" s="13" t="n"/>
      <c r="F218" s="13" t="n"/>
      <c r="G218" s="13" t="n"/>
      <c r="H218" s="23" t="n"/>
      <c r="I218" s="104" t="n"/>
      <c r="J218" s="105" t="n"/>
      <c r="K218" s="105" t="n"/>
      <c r="L218" s="13" t="n"/>
      <c r="M218" s="22" t="n"/>
      <c r="N218" s="24" t="n"/>
      <c r="O218" s="106" t="n"/>
      <c r="P218" s="22" t="n"/>
      <c r="Q218" s="39" t="n"/>
      <c r="R218" s="22" t="n"/>
      <c r="S218" s="105">
        <f>+J218</f>
        <v/>
      </c>
      <c r="T218" s="105" t="n"/>
      <c r="U218" s="105" t="n"/>
      <c r="V218" s="105" t="n"/>
      <c r="W218" s="105" t="n"/>
      <c r="X218" s="105" t="n"/>
      <c r="Y218" s="105" t="n"/>
      <c r="Z218" s="105" t="n"/>
      <c r="AA218" s="105" t="n"/>
      <c r="AB218" s="22" t="n"/>
      <c r="AC218" s="105" t="n"/>
      <c r="AD218" s="22" t="n"/>
      <c r="AE218" s="105" t="n"/>
      <c r="AF218" s="22" t="n"/>
      <c r="AG218" s="105" t="n"/>
      <c r="AH218" s="105" t="n"/>
      <c r="AI218" s="105" t="n"/>
      <c r="AJ218" s="105" t="n"/>
      <c r="AK218" s="21">
        <f>IF(Q218="ANULADA","N/A",IF(ABS(AJ218)&gt;10,"Pendiente",IF(MAX(AB218,AD218,AF218)=0,"Pendiente",MAX(0,MAX(AB218,AD218,AF218)-O218))))</f>
        <v/>
      </c>
    </row>
    <row r="219" hidden="1" ht="15" customHeight="1">
      <c r="A219" s="22" t="n"/>
      <c r="B219" s="22" t="n"/>
      <c r="C219" s="22" t="n"/>
      <c r="D219" s="13" t="n"/>
      <c r="E219" s="13" t="n"/>
      <c r="F219" s="13" t="n"/>
      <c r="G219" s="13" t="n"/>
      <c r="H219" s="23" t="n"/>
      <c r="I219" s="104" t="n"/>
      <c r="J219" s="105" t="n"/>
      <c r="K219" s="105" t="n"/>
      <c r="L219" s="13" t="n"/>
      <c r="M219" s="22" t="n"/>
      <c r="N219" s="24" t="n"/>
      <c r="O219" s="106" t="n"/>
      <c r="P219" s="22" t="n"/>
      <c r="Q219" s="39" t="n"/>
      <c r="R219" s="22" t="n"/>
      <c r="S219" s="105">
        <f>+J219</f>
        <v/>
      </c>
      <c r="T219" s="105" t="n"/>
      <c r="U219" s="105" t="n"/>
      <c r="V219" s="105" t="n"/>
      <c r="W219" s="105" t="n"/>
      <c r="X219" s="105" t="n"/>
      <c r="Y219" s="105" t="n"/>
      <c r="Z219" s="105" t="n"/>
      <c r="AA219" s="105" t="n"/>
      <c r="AB219" s="22" t="n"/>
      <c r="AC219" s="105" t="n"/>
      <c r="AD219" s="22" t="n"/>
      <c r="AE219" s="105" t="n"/>
      <c r="AF219" s="22" t="n"/>
      <c r="AG219" s="105" t="n"/>
      <c r="AH219" s="105" t="n"/>
      <c r="AI219" s="105" t="n"/>
      <c r="AJ219" s="105" t="n"/>
      <c r="AK219" s="21">
        <f>IF(Q219="ANULADA","N/A",IF(ABS(AJ219)&gt;10,"Pendiente",IF(MAX(AB219,AD219,AF219)=0,"Pendiente",MAX(0,MAX(AB219,AD219,AF219)-O219))))</f>
        <v/>
      </c>
    </row>
    <row r="220" hidden="1" ht="15" customHeight="1">
      <c r="A220" s="22" t="n"/>
      <c r="B220" s="22" t="n"/>
      <c r="C220" s="22" t="n"/>
      <c r="D220" s="13" t="n"/>
      <c r="E220" s="13" t="n"/>
      <c r="F220" s="13" t="n"/>
      <c r="G220" s="13" t="n"/>
      <c r="H220" s="23" t="n"/>
      <c r="I220" s="104" t="n"/>
      <c r="J220" s="105" t="n"/>
      <c r="K220" s="105" t="n"/>
      <c r="L220" s="13" t="n"/>
      <c r="M220" s="22" t="n"/>
      <c r="N220" s="24" t="n"/>
      <c r="O220" s="106" t="n"/>
      <c r="P220" s="22" t="n"/>
      <c r="Q220" s="22" t="n"/>
      <c r="R220" s="22" t="n"/>
      <c r="S220" s="105">
        <f>+J220</f>
        <v/>
      </c>
      <c r="T220" s="105" t="n"/>
      <c r="U220" s="105" t="n"/>
      <c r="V220" s="105" t="n"/>
      <c r="W220" s="105" t="n"/>
      <c r="X220" s="105" t="n"/>
      <c r="Y220" s="105" t="n"/>
      <c r="Z220" s="105" t="n"/>
      <c r="AA220" s="105" t="n"/>
      <c r="AB220" s="22" t="n"/>
      <c r="AC220" s="105" t="n"/>
      <c r="AD220" s="22" t="n"/>
      <c r="AE220" s="105" t="n"/>
      <c r="AF220" s="22" t="n"/>
      <c r="AG220" s="105" t="n"/>
      <c r="AH220" s="105" t="n"/>
      <c r="AI220" s="105" t="n"/>
      <c r="AJ220" s="105" t="n"/>
      <c r="AK220" s="21">
        <f>IF(Q220="ANULADA","N/A",IF(ABS(AJ220)&gt;10,"Pendiente",IF(MAX(AB220,AD220,AF220)=0,"Pendiente",MAX(0,MAX(AB220,AD220,AF220)-O220))))</f>
        <v/>
      </c>
    </row>
    <row r="221" hidden="1" ht="15" customHeight="1">
      <c r="A221" s="22" t="n"/>
      <c r="B221" s="22" t="n"/>
      <c r="C221" s="22" t="n"/>
      <c r="D221" s="13" t="n"/>
      <c r="E221" s="13" t="n"/>
      <c r="F221" s="13" t="n"/>
      <c r="G221" s="13" t="n"/>
      <c r="H221" s="23" t="n"/>
      <c r="I221" s="104" t="n"/>
      <c r="J221" s="105" t="n"/>
      <c r="K221" s="105" t="n"/>
      <c r="L221" s="13" t="n"/>
      <c r="M221" s="22" t="n"/>
      <c r="N221" s="24" t="n"/>
      <c r="O221" s="106" t="n"/>
      <c r="P221" s="22" t="n"/>
      <c r="Q221" s="22" t="n"/>
      <c r="R221" s="22" t="n"/>
      <c r="S221" s="105">
        <f>+J221</f>
        <v/>
      </c>
      <c r="T221" s="105" t="n"/>
      <c r="U221" s="105" t="n"/>
      <c r="V221" s="105" t="n"/>
      <c r="W221" s="105" t="n"/>
      <c r="X221" s="105" t="n"/>
      <c r="Y221" s="105" t="n"/>
      <c r="Z221" s="105" t="n"/>
      <c r="AA221" s="105" t="n"/>
      <c r="AB221" s="22" t="n"/>
      <c r="AC221" s="105" t="n"/>
      <c r="AD221" s="22" t="n"/>
      <c r="AE221" s="105" t="n"/>
      <c r="AF221" s="22" t="n"/>
      <c r="AG221" s="105" t="n"/>
      <c r="AH221" s="105" t="n"/>
      <c r="AI221" s="105" t="n"/>
      <c r="AJ221" s="105" t="n"/>
      <c r="AK221" s="21">
        <f>IF(Q221="ANULADA","N/A",IF(ABS(AJ221)&gt;10,"Pendiente",IF(MAX(AB221,AD221,AF221)=0,"Pendiente",MAX(0,MAX(AB221,AD221,AF221)-O221))))</f>
        <v/>
      </c>
    </row>
    <row r="222" hidden="1" ht="15" customHeight="1">
      <c r="A222" s="22" t="n"/>
      <c r="B222" s="22" t="n"/>
      <c r="C222" s="22" t="n"/>
      <c r="D222" s="13" t="n"/>
      <c r="E222" s="13" t="n"/>
      <c r="F222" s="13" t="n"/>
      <c r="G222" s="13" t="n"/>
      <c r="H222" s="23" t="n"/>
      <c r="I222" s="104" t="n"/>
      <c r="J222" s="105" t="n"/>
      <c r="K222" s="105" t="n"/>
      <c r="L222" s="13" t="n"/>
      <c r="M222" s="22" t="n"/>
      <c r="N222" s="24" t="n"/>
      <c r="O222" s="106" t="n"/>
      <c r="P222" s="22" t="n"/>
      <c r="Q222" s="22" t="n"/>
      <c r="R222" s="22" t="n"/>
      <c r="S222" s="105">
        <f>+J222</f>
        <v/>
      </c>
      <c r="T222" s="105" t="n"/>
      <c r="U222" s="105" t="n"/>
      <c r="V222" s="105" t="n"/>
      <c r="W222" s="105" t="n"/>
      <c r="X222" s="105" t="n"/>
      <c r="Y222" s="105" t="n"/>
      <c r="Z222" s="105" t="n"/>
      <c r="AA222" s="105" t="n"/>
      <c r="AB222" s="22" t="n"/>
      <c r="AC222" s="105" t="n"/>
      <c r="AD222" s="22" t="n"/>
      <c r="AE222" s="105" t="n"/>
      <c r="AF222" s="22" t="n"/>
      <c r="AG222" s="105" t="n"/>
      <c r="AH222" s="105" t="n"/>
      <c r="AI222" s="105" t="n"/>
      <c r="AJ222" s="105" t="n"/>
      <c r="AK222" s="21">
        <f>IF(Q222="ANULADA","N/A",IF(ABS(AJ222)&gt;10,"Pendiente",IF(MAX(AB222,AD222,AF222)=0,"Pendiente",MAX(0,MAX(AB222,AD222,AF222)-O222))))</f>
        <v/>
      </c>
    </row>
    <row r="223" hidden="1" ht="15" customHeight="1">
      <c r="A223" s="22" t="n"/>
      <c r="B223" s="22" t="n"/>
      <c r="C223" s="22" t="n"/>
      <c r="D223" s="13" t="n"/>
      <c r="E223" s="13" t="n"/>
      <c r="F223" s="13" t="n"/>
      <c r="G223" s="13" t="n"/>
      <c r="H223" s="23" t="n"/>
      <c r="I223" s="104" t="n"/>
      <c r="J223" s="105" t="n"/>
      <c r="K223" s="105" t="n"/>
      <c r="L223" s="13" t="n"/>
      <c r="M223" s="22" t="n"/>
      <c r="N223" s="24" t="n"/>
      <c r="O223" s="106" t="n"/>
      <c r="P223" s="22" t="n"/>
      <c r="Q223" s="39" t="n"/>
      <c r="R223" s="22" t="n"/>
      <c r="S223" s="105">
        <f>+J223</f>
        <v/>
      </c>
      <c r="T223" s="105" t="n"/>
      <c r="U223" s="105" t="n"/>
      <c r="V223" s="105" t="n"/>
      <c r="W223" s="105" t="n"/>
      <c r="X223" s="105" t="n"/>
      <c r="Y223" s="105" t="n"/>
      <c r="Z223" s="105" t="n"/>
      <c r="AA223" s="105" t="n"/>
      <c r="AB223" s="22" t="n"/>
      <c r="AC223" s="105" t="n"/>
      <c r="AD223" s="22" t="n"/>
      <c r="AE223" s="105" t="n"/>
      <c r="AF223" s="22" t="n"/>
      <c r="AG223" s="105" t="n"/>
      <c r="AH223" s="105" t="n"/>
      <c r="AI223" s="105" t="n"/>
      <c r="AJ223" s="105" t="n"/>
      <c r="AK223" s="21">
        <f>IF(Q223="ANULADA","N/A",IF(ABS(AJ223)&gt;10,"Pendiente",IF(MAX(AB223,AD223,AF223)=0,"Pendiente",MAX(0,MAX(AB223,AD223,AF223)-O223))))</f>
        <v/>
      </c>
    </row>
    <row r="224" hidden="1" ht="15" customHeight="1">
      <c r="A224" s="22" t="n"/>
      <c r="B224" s="22" t="n"/>
      <c r="C224" s="22" t="n"/>
      <c r="D224" s="13" t="n"/>
      <c r="E224" s="13" t="n"/>
      <c r="F224" s="13" t="n"/>
      <c r="G224" s="13" t="n"/>
      <c r="H224" s="23" t="n"/>
      <c r="I224" s="104" t="n"/>
      <c r="J224" s="105" t="n"/>
      <c r="K224" s="105" t="n"/>
      <c r="L224" s="13" t="n"/>
      <c r="M224" s="22" t="n"/>
      <c r="N224" s="24" t="n"/>
      <c r="O224" s="106" t="n"/>
      <c r="P224" s="22" t="n"/>
      <c r="Q224" s="22" t="n"/>
      <c r="R224" s="22" t="n"/>
      <c r="S224" s="105">
        <f>+J224</f>
        <v/>
      </c>
      <c r="T224" s="105" t="n"/>
      <c r="U224" s="105" t="n"/>
      <c r="V224" s="105" t="n"/>
      <c r="W224" s="105" t="n"/>
      <c r="X224" s="105" t="n"/>
      <c r="Y224" s="105" t="n"/>
      <c r="Z224" s="105" t="n"/>
      <c r="AA224" s="105" t="n"/>
      <c r="AB224" s="22" t="n"/>
      <c r="AC224" s="105" t="n"/>
      <c r="AD224" s="22" t="n"/>
      <c r="AE224" s="105" t="n"/>
      <c r="AF224" s="22" t="n"/>
      <c r="AG224" s="105" t="n"/>
      <c r="AH224" s="105" t="n"/>
      <c r="AI224" s="105" t="n"/>
      <c r="AJ224" s="105" t="n"/>
      <c r="AK224" s="21">
        <f>IF(Q224="ANULADA","N/A",IF(ABS(AJ224)&gt;10,"Pendiente",IF(MAX(AB224,AD224,AF224)=0,"Pendiente",MAX(0,MAX(AB224,AD224,AF224)-O224))))</f>
        <v/>
      </c>
    </row>
    <row r="225" hidden="1" ht="15" customHeight="1">
      <c r="A225" s="22" t="n"/>
      <c r="B225" s="22" t="n"/>
      <c r="C225" s="22" t="n"/>
      <c r="D225" s="13" t="n"/>
      <c r="E225" s="13" t="n"/>
      <c r="F225" s="13" t="n"/>
      <c r="G225" s="13" t="n"/>
      <c r="H225" s="23" t="n"/>
      <c r="I225" s="104" t="n"/>
      <c r="J225" s="105" t="n"/>
      <c r="K225" s="105" t="n"/>
      <c r="L225" s="13" t="n"/>
      <c r="M225" s="22" t="n"/>
      <c r="N225" s="24" t="n"/>
      <c r="O225" s="106" t="n"/>
      <c r="P225" s="22" t="n"/>
      <c r="Q225" s="39" t="n"/>
      <c r="R225" s="22" t="n"/>
      <c r="S225" s="105">
        <f>+J225</f>
        <v/>
      </c>
      <c r="T225" s="105" t="n"/>
      <c r="U225" s="105" t="n"/>
      <c r="V225" s="105" t="n"/>
      <c r="W225" s="105" t="n"/>
      <c r="X225" s="105" t="n"/>
      <c r="Y225" s="105" t="n"/>
      <c r="Z225" s="105" t="n"/>
      <c r="AA225" s="105" t="n"/>
      <c r="AB225" s="22" t="n"/>
      <c r="AC225" s="105" t="n"/>
      <c r="AD225" s="22" t="n"/>
      <c r="AE225" s="105" t="n"/>
      <c r="AF225" s="22" t="n"/>
      <c r="AG225" s="105" t="n"/>
      <c r="AH225" s="105" t="n"/>
      <c r="AI225" s="105" t="n"/>
      <c r="AJ225" s="105" t="n"/>
      <c r="AK225" s="21">
        <f>IF(Q225="ANULADA","N/A",IF(ABS(AJ225)&gt;10,"Pendiente",IF(MAX(AB225,AD225,AF225)=0,"Pendiente",MAX(0,MAX(AB225,AD225,AF225)-O225))))</f>
        <v/>
      </c>
    </row>
    <row r="226" hidden="1" ht="15" customHeight="1">
      <c r="A226" s="22" t="n"/>
      <c r="B226" s="22" t="n"/>
      <c r="C226" s="22" t="n"/>
      <c r="D226" s="13" t="n"/>
      <c r="E226" s="13" t="n"/>
      <c r="F226" s="13" t="n"/>
      <c r="G226" s="13" t="n"/>
      <c r="H226" s="23" t="n"/>
      <c r="I226" s="104" t="n"/>
      <c r="J226" s="105" t="n"/>
      <c r="K226" s="105" t="n"/>
      <c r="L226" s="13" t="n"/>
      <c r="M226" s="22" t="n"/>
      <c r="N226" s="24" t="n"/>
      <c r="O226" s="106" t="n"/>
      <c r="P226" s="22" t="n"/>
      <c r="Q226" s="39" t="n"/>
      <c r="R226" s="22" t="n"/>
      <c r="S226" s="105">
        <f>+J226</f>
        <v/>
      </c>
      <c r="T226" s="105" t="n"/>
      <c r="U226" s="105" t="n"/>
      <c r="V226" s="105" t="n"/>
      <c r="W226" s="105" t="n"/>
      <c r="X226" s="105" t="n"/>
      <c r="Y226" s="105" t="n"/>
      <c r="Z226" s="105" t="n"/>
      <c r="AA226" s="105" t="n"/>
      <c r="AB226" s="22" t="n"/>
      <c r="AC226" s="105" t="n"/>
      <c r="AD226" s="22" t="n"/>
      <c r="AE226" s="105" t="n"/>
      <c r="AF226" s="22" t="n"/>
      <c r="AG226" s="105" t="n"/>
      <c r="AH226" s="105" t="n"/>
      <c r="AI226" s="105" t="n"/>
      <c r="AJ226" s="105" t="n"/>
      <c r="AK226" s="21">
        <f>IF(Q226="ANULADA","N/A",IF(ABS(AJ226)&gt;10,"Pendiente",IF(MAX(AB226,AD226,AF226)=0,"Pendiente",MAX(0,MAX(AB226,AD226,AF226)-O226))))</f>
        <v/>
      </c>
    </row>
    <row r="227" hidden="1" ht="15" customHeight="1">
      <c r="A227" s="22" t="n"/>
      <c r="B227" s="22" t="n"/>
      <c r="C227" s="22" t="n"/>
      <c r="D227" s="13" t="n"/>
      <c r="E227" s="13" t="n"/>
      <c r="F227" s="13" t="n"/>
      <c r="G227" s="13" t="n"/>
      <c r="H227" s="23" t="n"/>
      <c r="I227" s="104" t="n"/>
      <c r="J227" s="105" t="n"/>
      <c r="K227" s="105" t="n"/>
      <c r="L227" s="13" t="n"/>
      <c r="M227" s="22" t="n"/>
      <c r="N227" s="24" t="n"/>
      <c r="O227" s="106" t="n"/>
      <c r="P227" s="22" t="n"/>
      <c r="Q227" s="22" t="n"/>
      <c r="R227" s="22" t="n"/>
      <c r="S227" s="105">
        <f>+J227</f>
        <v/>
      </c>
      <c r="T227" s="105" t="n"/>
      <c r="U227" s="105" t="n"/>
      <c r="V227" s="105" t="n"/>
      <c r="W227" s="105" t="n"/>
      <c r="X227" s="105" t="n"/>
      <c r="Y227" s="105" t="n"/>
      <c r="Z227" s="105" t="n"/>
      <c r="AA227" s="105" t="n"/>
      <c r="AB227" s="22" t="n"/>
      <c r="AC227" s="105" t="n"/>
      <c r="AD227" s="22" t="n"/>
      <c r="AE227" s="105" t="n"/>
      <c r="AF227" s="22" t="n"/>
      <c r="AG227" s="105" t="n"/>
      <c r="AH227" s="105" t="n"/>
      <c r="AI227" s="105" t="n"/>
      <c r="AJ227" s="105" t="n"/>
      <c r="AK227" s="21">
        <f>IF(Q227="ANULADA","N/A",IF(ABS(AJ227)&gt;10,"Pendiente",IF(MAX(AB227,AD227,AF227)=0,"Pendiente",MAX(0,MAX(AB227,AD227,AF227)-O227))))</f>
        <v/>
      </c>
    </row>
    <row r="228" hidden="1" ht="15" customHeight="1">
      <c r="A228" s="22" t="n"/>
      <c r="B228" s="22" t="n"/>
      <c r="C228" s="22" t="n"/>
      <c r="D228" s="13" t="n"/>
      <c r="E228" s="13" t="n"/>
      <c r="F228" s="13" t="n"/>
      <c r="G228" s="13" t="n"/>
      <c r="H228" s="23" t="n"/>
      <c r="I228" s="104" t="n"/>
      <c r="J228" s="105" t="n"/>
      <c r="K228" s="105" t="n"/>
      <c r="L228" s="13" t="n"/>
      <c r="M228" s="22" t="n"/>
      <c r="N228" s="24" t="n"/>
      <c r="O228" s="106" t="n"/>
      <c r="P228" s="22" t="n"/>
      <c r="Q228" s="22" t="n"/>
      <c r="R228" s="22" t="n"/>
      <c r="S228" s="105">
        <f>+J228</f>
        <v/>
      </c>
      <c r="T228" s="105" t="n"/>
      <c r="U228" s="105" t="n"/>
      <c r="V228" s="105" t="n"/>
      <c r="W228" s="105" t="n"/>
      <c r="X228" s="105" t="n"/>
      <c r="Y228" s="105" t="n"/>
      <c r="Z228" s="105" t="n"/>
      <c r="AA228" s="105" t="n"/>
      <c r="AB228" s="22" t="n"/>
      <c r="AC228" s="105" t="n"/>
      <c r="AD228" s="22" t="n"/>
      <c r="AE228" s="105" t="n"/>
      <c r="AF228" s="22" t="n"/>
      <c r="AG228" s="105" t="n"/>
      <c r="AH228" s="105" t="n"/>
      <c r="AI228" s="105" t="n"/>
      <c r="AJ228" s="105" t="n"/>
      <c r="AK228" s="21">
        <f>IF(Q228="ANULADA","N/A",IF(ABS(AJ228)&gt;10,"Pendiente",IF(MAX(AB228,AD228,AF228)=0,"Pendiente",MAX(0,MAX(AB228,AD228,AF228)-O228))))</f>
        <v/>
      </c>
    </row>
    <row r="229" hidden="1" ht="15" customHeight="1">
      <c r="A229" s="22" t="n"/>
      <c r="B229" s="22" t="n"/>
      <c r="C229" s="22" t="n"/>
      <c r="D229" s="13" t="n"/>
      <c r="E229" s="13" t="n"/>
      <c r="F229" s="13" t="n"/>
      <c r="G229" s="13" t="n"/>
      <c r="H229" s="23" t="n"/>
      <c r="I229" s="104" t="n"/>
      <c r="J229" s="105" t="n"/>
      <c r="K229" s="105" t="n"/>
      <c r="L229" s="13" t="n"/>
      <c r="M229" s="22" t="n"/>
      <c r="N229" s="24" t="n"/>
      <c r="O229" s="106" t="n"/>
      <c r="P229" s="22" t="n"/>
      <c r="Q229" s="22" t="n"/>
      <c r="R229" s="22" t="n"/>
      <c r="S229" s="105">
        <f>+J229</f>
        <v/>
      </c>
      <c r="T229" s="105" t="n"/>
      <c r="U229" s="105" t="n"/>
      <c r="V229" s="105" t="n"/>
      <c r="W229" s="105" t="n"/>
      <c r="X229" s="105" t="n"/>
      <c r="Y229" s="105" t="n"/>
      <c r="Z229" s="105" t="n"/>
      <c r="AA229" s="105" t="n"/>
      <c r="AB229" s="22" t="n"/>
      <c r="AC229" s="105" t="n"/>
      <c r="AD229" s="22" t="n"/>
      <c r="AE229" s="105" t="n"/>
      <c r="AF229" s="22" t="n"/>
      <c r="AG229" s="105" t="n"/>
      <c r="AH229" s="105" t="n"/>
      <c r="AI229" s="105" t="n"/>
      <c r="AJ229" s="105" t="n"/>
      <c r="AK229" s="21">
        <f>IF(Q229="ANULADA","N/A",IF(ABS(AJ229)&gt;10,"Pendiente",IF(MAX(AB229,AD229,AF229)=0,"Pendiente",MAX(0,MAX(AB229,AD229,AF229)-O229))))</f>
        <v/>
      </c>
    </row>
    <row r="230" hidden="1" ht="15" customHeight="1">
      <c r="A230" s="22" t="n"/>
      <c r="B230" s="22" t="n"/>
      <c r="C230" s="22" t="n"/>
      <c r="D230" s="13" t="n"/>
      <c r="E230" s="13" t="n"/>
      <c r="F230" s="13" t="n"/>
      <c r="G230" s="13" t="n"/>
      <c r="H230" s="23" t="n"/>
      <c r="I230" s="104" t="n"/>
      <c r="J230" s="105" t="n"/>
      <c r="K230" s="105" t="n"/>
      <c r="L230" s="13" t="n"/>
      <c r="M230" s="22" t="n"/>
      <c r="N230" s="24" t="n"/>
      <c r="O230" s="106" t="n"/>
      <c r="P230" s="22" t="n"/>
      <c r="Q230" s="39" t="n"/>
      <c r="R230" s="22" t="n"/>
      <c r="S230" s="105">
        <f>+J230</f>
        <v/>
      </c>
      <c r="T230" s="105" t="n"/>
      <c r="U230" s="105" t="n"/>
      <c r="V230" s="105" t="n"/>
      <c r="W230" s="105" t="n"/>
      <c r="X230" s="105" t="n"/>
      <c r="Y230" s="105" t="n"/>
      <c r="Z230" s="105" t="n"/>
      <c r="AA230" s="105" t="n"/>
      <c r="AB230" s="22" t="n"/>
      <c r="AC230" s="105" t="n"/>
      <c r="AD230" s="22" t="n"/>
      <c r="AE230" s="105" t="n"/>
      <c r="AF230" s="22" t="n"/>
      <c r="AG230" s="105" t="n"/>
      <c r="AH230" s="105" t="n"/>
      <c r="AI230" s="105" t="n"/>
      <c r="AJ230" s="105" t="n"/>
      <c r="AK230" s="21">
        <f>IF(Q230="ANULADA","N/A",IF(ABS(AJ230)&gt;10,"Pendiente",IF(MAX(AB230,AD230,AF230)=0,"Pendiente",MAX(0,MAX(AB230,AD230,AF230)-O230))))</f>
        <v/>
      </c>
    </row>
    <row r="231" hidden="1" ht="15" customHeight="1">
      <c r="A231" s="22" t="n"/>
      <c r="B231" s="22" t="n"/>
      <c r="C231" s="22" t="n"/>
      <c r="D231" s="13" t="n"/>
      <c r="E231" s="13" t="n"/>
      <c r="F231" s="13" t="n"/>
      <c r="G231" s="13" t="n"/>
      <c r="H231" s="23" t="n"/>
      <c r="I231" s="104" t="n"/>
      <c r="J231" s="105" t="n"/>
      <c r="K231" s="105" t="n"/>
      <c r="L231" s="13" t="n"/>
      <c r="M231" s="22" t="n"/>
      <c r="N231" s="24" t="n"/>
      <c r="O231" s="106" t="n"/>
      <c r="P231" s="22" t="n"/>
      <c r="Q231" s="22" t="n"/>
      <c r="R231" s="22" t="n"/>
      <c r="S231" s="105">
        <f>+J231</f>
        <v/>
      </c>
      <c r="T231" s="105" t="n"/>
      <c r="U231" s="105" t="n"/>
      <c r="V231" s="105" t="n"/>
      <c r="W231" s="105" t="n"/>
      <c r="X231" s="105" t="n"/>
      <c r="Y231" s="105" t="n"/>
      <c r="Z231" s="105" t="n"/>
      <c r="AA231" s="105" t="n"/>
      <c r="AB231" s="22" t="n"/>
      <c r="AC231" s="105" t="n"/>
      <c r="AD231" s="22" t="n"/>
      <c r="AE231" s="105" t="n"/>
      <c r="AF231" s="22" t="n"/>
      <c r="AG231" s="105" t="n"/>
      <c r="AH231" s="105" t="n"/>
      <c r="AI231" s="105" t="n"/>
      <c r="AJ231" s="105" t="n"/>
      <c r="AK231" s="21">
        <f>IF(Q231="ANULADA","N/A",IF(ABS(AJ231)&gt;10,"Pendiente",IF(MAX(AB231,AD231,AF231)=0,"Pendiente",MAX(0,MAX(AB231,AD231,AF231)-O231))))</f>
        <v/>
      </c>
    </row>
    <row r="232" hidden="1" ht="15" customHeight="1">
      <c r="A232" s="22" t="n"/>
      <c r="B232" s="22" t="n"/>
      <c r="C232" s="22" t="n"/>
      <c r="D232" s="13" t="n"/>
      <c r="E232" s="13" t="n"/>
      <c r="F232" s="13" t="n"/>
      <c r="G232" s="13" t="n"/>
      <c r="H232" s="23" t="n"/>
      <c r="I232" s="104" t="n"/>
      <c r="J232" s="105" t="n"/>
      <c r="K232" s="105" t="n"/>
      <c r="L232" s="13" t="n"/>
      <c r="M232" s="22" t="n"/>
      <c r="N232" s="24" t="n"/>
      <c r="O232" s="106" t="n"/>
      <c r="P232" s="22" t="n"/>
      <c r="Q232" s="39" t="n"/>
      <c r="R232" s="22" t="n"/>
      <c r="S232" s="105">
        <f>+J232</f>
        <v/>
      </c>
      <c r="T232" s="105" t="n"/>
      <c r="U232" s="105" t="n"/>
      <c r="V232" s="105" t="n"/>
      <c r="W232" s="105" t="n"/>
      <c r="X232" s="105" t="n"/>
      <c r="Y232" s="105" t="n"/>
      <c r="Z232" s="105" t="n"/>
      <c r="AA232" s="105" t="n"/>
      <c r="AB232" s="22" t="n"/>
      <c r="AC232" s="105" t="n"/>
      <c r="AD232" s="22" t="n"/>
      <c r="AE232" s="105" t="n"/>
      <c r="AF232" s="22" t="n"/>
      <c r="AG232" s="105" t="n"/>
      <c r="AH232" s="105" t="n"/>
      <c r="AI232" s="105" t="n"/>
      <c r="AJ232" s="105" t="n"/>
      <c r="AK232" s="21">
        <f>IF(Q232="ANULADA","N/A",IF(ABS(AJ232)&gt;10,"Pendiente",IF(MAX(AB232,AD232,AF232)=0,"Pendiente",MAX(0,MAX(AB232,AD232,AF232)-O232))))</f>
        <v/>
      </c>
    </row>
    <row r="233" hidden="1" ht="15" customHeight="1">
      <c r="A233" s="22" t="n"/>
      <c r="B233" s="22" t="n"/>
      <c r="C233" s="22" t="n"/>
      <c r="D233" s="13" t="n"/>
      <c r="E233" s="13" t="n"/>
      <c r="F233" s="13" t="n"/>
      <c r="G233" s="13" t="n"/>
      <c r="H233" s="23" t="n"/>
      <c r="I233" s="104" t="n"/>
      <c r="J233" s="105" t="n"/>
      <c r="K233" s="105" t="n"/>
      <c r="L233" s="13" t="n"/>
      <c r="M233" s="22" t="n"/>
      <c r="N233" s="24" t="n"/>
      <c r="O233" s="106" t="n"/>
      <c r="P233" s="22" t="n"/>
      <c r="Q233" s="39" t="n"/>
      <c r="R233" s="22" t="n"/>
      <c r="S233" s="105">
        <f>+J233</f>
        <v/>
      </c>
      <c r="T233" s="105" t="n"/>
      <c r="U233" s="105" t="n"/>
      <c r="V233" s="105" t="n"/>
      <c r="W233" s="105" t="n"/>
      <c r="X233" s="105" t="n"/>
      <c r="Y233" s="105" t="n"/>
      <c r="Z233" s="105" t="n"/>
      <c r="AA233" s="105" t="n"/>
      <c r="AB233" s="22" t="n"/>
      <c r="AC233" s="105" t="n"/>
      <c r="AD233" s="22" t="n"/>
      <c r="AE233" s="105" t="n"/>
      <c r="AF233" s="22" t="n"/>
      <c r="AG233" s="105" t="n"/>
      <c r="AH233" s="105" t="n"/>
      <c r="AI233" s="105" t="n"/>
      <c r="AJ233" s="105" t="n"/>
      <c r="AK233" s="21">
        <f>IF(Q233="ANULADA","N/A",IF(ABS(AJ233)&gt;10,"Pendiente",IF(MAX(AB233,AD233,AF233)=0,"Pendiente",MAX(0,MAX(AB233,AD233,AF233)-O233))))</f>
        <v/>
      </c>
    </row>
    <row r="234" hidden="1" ht="15" customHeight="1">
      <c r="A234" s="22" t="n"/>
      <c r="B234" s="22" t="n"/>
      <c r="C234" s="22" t="n"/>
      <c r="D234" s="13" t="n"/>
      <c r="E234" s="13" t="n"/>
      <c r="F234" s="13" t="n"/>
      <c r="G234" s="13" t="n"/>
      <c r="H234" s="23" t="n"/>
      <c r="I234" s="104" t="n"/>
      <c r="J234" s="105" t="n"/>
      <c r="K234" s="105" t="n"/>
      <c r="L234" s="13" t="n"/>
      <c r="M234" s="22" t="n"/>
      <c r="N234" s="24" t="n"/>
      <c r="O234" s="106" t="n"/>
      <c r="P234" s="22" t="n"/>
      <c r="Q234" s="22" t="n"/>
      <c r="R234" s="22" t="n"/>
      <c r="S234" s="105">
        <f>+J234</f>
        <v/>
      </c>
      <c r="T234" s="105" t="n"/>
      <c r="U234" s="105" t="n"/>
      <c r="V234" s="105" t="n"/>
      <c r="W234" s="105" t="n"/>
      <c r="X234" s="105" t="n"/>
      <c r="Y234" s="105" t="n"/>
      <c r="Z234" s="105" t="n"/>
      <c r="AA234" s="105" t="n"/>
      <c r="AB234" s="22" t="n"/>
      <c r="AC234" s="105" t="n"/>
      <c r="AD234" s="22" t="n"/>
      <c r="AE234" s="105" t="n"/>
      <c r="AF234" s="22" t="n"/>
      <c r="AG234" s="105" t="n"/>
      <c r="AH234" s="105" t="n"/>
      <c r="AI234" s="105" t="n"/>
      <c r="AJ234" s="105" t="n"/>
      <c r="AK234" s="21">
        <f>IF(Q234="ANULADA","N/A",IF(ABS(AJ234)&gt;10,"Pendiente",IF(MAX(AB234,AD234,AF234)=0,"Pendiente",MAX(0,MAX(AB234,AD234,AF234)-O234))))</f>
        <v/>
      </c>
    </row>
    <row r="235" hidden="1" ht="15" customHeight="1">
      <c r="A235" s="22" t="n"/>
      <c r="B235" s="22" t="n"/>
      <c r="C235" s="22" t="n"/>
      <c r="D235" s="13" t="n"/>
      <c r="E235" s="13" t="n"/>
      <c r="F235" s="13" t="n"/>
      <c r="G235" s="13" t="n"/>
      <c r="H235" s="23" t="n"/>
      <c r="I235" s="104" t="n"/>
      <c r="J235" s="105" t="n"/>
      <c r="K235" s="105" t="n"/>
      <c r="L235" s="13" t="n"/>
      <c r="M235" s="22" t="n"/>
      <c r="N235" s="24" t="n"/>
      <c r="O235" s="106" t="n"/>
      <c r="P235" s="22" t="n"/>
      <c r="Q235" s="22" t="n"/>
      <c r="R235" s="22" t="n"/>
      <c r="S235" s="105">
        <f>+J235</f>
        <v/>
      </c>
      <c r="T235" s="105" t="n"/>
      <c r="U235" s="105" t="n"/>
      <c r="V235" s="105" t="n"/>
      <c r="W235" s="105" t="n"/>
      <c r="X235" s="105" t="n"/>
      <c r="Y235" s="105" t="n"/>
      <c r="Z235" s="105" t="n"/>
      <c r="AA235" s="105" t="n"/>
      <c r="AB235" s="22" t="n"/>
      <c r="AC235" s="105" t="n"/>
      <c r="AD235" s="22" t="n"/>
      <c r="AE235" s="105" t="n"/>
      <c r="AF235" s="22" t="n"/>
      <c r="AG235" s="105" t="n"/>
      <c r="AH235" s="105" t="n"/>
      <c r="AI235" s="105" t="n"/>
      <c r="AJ235" s="105" t="n"/>
      <c r="AK235" s="21">
        <f>IF(Q235="ANULADA","N/A",IF(ABS(AJ235)&gt;10,"Pendiente",IF(MAX(AB235,AD235,AF235)=0,"Pendiente",MAX(0,MAX(AB235,AD235,AF235)-O235))))</f>
        <v/>
      </c>
    </row>
    <row r="236" hidden="1" ht="15" customHeight="1">
      <c r="A236" s="22" t="n"/>
      <c r="B236" s="22" t="n"/>
      <c r="C236" s="22" t="n"/>
      <c r="D236" s="13" t="n"/>
      <c r="E236" s="13" t="n"/>
      <c r="F236" s="13" t="n"/>
      <c r="G236" s="13" t="n"/>
      <c r="H236" s="23" t="n"/>
      <c r="I236" s="104" t="n"/>
      <c r="J236" s="105" t="n"/>
      <c r="K236" s="105" t="n"/>
      <c r="L236" s="13" t="n"/>
      <c r="M236" s="22" t="n"/>
      <c r="N236" s="24" t="n"/>
      <c r="O236" s="106" t="n"/>
      <c r="P236" s="22" t="n"/>
      <c r="Q236" s="22" t="n"/>
      <c r="R236" s="22" t="n"/>
      <c r="S236" s="105">
        <f>+J236</f>
        <v/>
      </c>
      <c r="T236" s="105" t="n"/>
      <c r="U236" s="105" t="n"/>
      <c r="V236" s="105" t="n"/>
      <c r="W236" s="105" t="n"/>
      <c r="X236" s="105" t="n"/>
      <c r="Y236" s="105" t="n"/>
      <c r="Z236" s="105" t="n"/>
      <c r="AA236" s="105" t="n"/>
      <c r="AB236" s="22" t="n"/>
      <c r="AC236" s="105" t="n"/>
      <c r="AD236" s="22" t="n"/>
      <c r="AE236" s="105" t="n"/>
      <c r="AF236" s="22" t="n"/>
      <c r="AG236" s="105" t="n"/>
      <c r="AH236" s="105" t="n"/>
      <c r="AI236" s="105" t="n"/>
      <c r="AJ236" s="105" t="n"/>
      <c r="AK236" s="21">
        <f>IF(Q236="ANULADA","N/A",IF(ABS(AJ236)&gt;10,"Pendiente",IF(MAX(AB236,AD236,AF236)=0,"Pendiente",MAX(0,MAX(AB236,AD236,AF236)-O236))))</f>
        <v/>
      </c>
    </row>
    <row r="237" hidden="1" ht="15" customHeight="1">
      <c r="A237" s="22" t="n"/>
      <c r="B237" s="22" t="n"/>
      <c r="C237" s="22" t="n"/>
      <c r="D237" s="13" t="n"/>
      <c r="E237" s="13" t="n"/>
      <c r="F237" s="13" t="n"/>
      <c r="G237" s="13" t="n"/>
      <c r="H237" s="23" t="n"/>
      <c r="I237" s="104" t="n"/>
      <c r="J237" s="105" t="n"/>
      <c r="K237" s="105" t="n"/>
      <c r="L237" s="13" t="n"/>
      <c r="M237" s="22" t="n"/>
      <c r="N237" s="24" t="n"/>
      <c r="O237" s="106" t="n"/>
      <c r="P237" s="22" t="n"/>
      <c r="Q237" s="39" t="n"/>
      <c r="R237" s="22" t="n"/>
      <c r="S237" s="105">
        <f>+J237</f>
        <v/>
      </c>
      <c r="T237" s="105" t="n"/>
      <c r="U237" s="105" t="n"/>
      <c r="V237" s="105" t="n"/>
      <c r="W237" s="105" t="n"/>
      <c r="X237" s="105" t="n"/>
      <c r="Y237" s="105" t="n"/>
      <c r="Z237" s="105" t="n"/>
      <c r="AA237" s="105" t="n"/>
      <c r="AB237" s="22" t="n"/>
      <c r="AC237" s="105" t="n"/>
      <c r="AD237" s="22" t="n"/>
      <c r="AE237" s="105" t="n"/>
      <c r="AF237" s="22" t="n"/>
      <c r="AG237" s="105" t="n"/>
      <c r="AH237" s="105" t="n"/>
      <c r="AI237" s="105" t="n"/>
      <c r="AJ237" s="105" t="n"/>
      <c r="AK237" s="21">
        <f>IF(Q237="ANULADA","N/A",IF(ABS(AJ237)&gt;10,"Pendiente",IF(MAX(AB237,AD237,AF237)=0,"Pendiente",MAX(0,MAX(AB237,AD237,AF237)-O237))))</f>
        <v/>
      </c>
    </row>
    <row r="238" hidden="1" ht="15" customHeight="1">
      <c r="A238" s="22" t="n"/>
      <c r="B238" s="22" t="n"/>
      <c r="C238" s="22" t="n"/>
      <c r="D238" s="13" t="n"/>
      <c r="E238" s="13" t="n"/>
      <c r="F238" s="13" t="n"/>
      <c r="G238" s="13" t="n"/>
      <c r="H238" s="23" t="n"/>
      <c r="I238" s="104" t="n"/>
      <c r="J238" s="105" t="n"/>
      <c r="K238" s="105" t="n"/>
      <c r="L238" s="13" t="n"/>
      <c r="M238" s="22" t="n"/>
      <c r="N238" s="24" t="n"/>
      <c r="O238" s="106" t="n"/>
      <c r="P238" s="22" t="n"/>
      <c r="Q238" s="22" t="n"/>
      <c r="R238" s="22" t="n"/>
      <c r="S238" s="105">
        <f>+J238</f>
        <v/>
      </c>
      <c r="T238" s="105" t="n"/>
      <c r="U238" s="105" t="n"/>
      <c r="V238" s="105" t="n"/>
      <c r="W238" s="105" t="n"/>
      <c r="X238" s="105" t="n"/>
      <c r="Y238" s="105" t="n"/>
      <c r="Z238" s="105" t="n"/>
      <c r="AA238" s="105" t="n"/>
      <c r="AB238" s="22" t="n"/>
      <c r="AC238" s="105" t="n"/>
      <c r="AD238" s="22" t="n"/>
      <c r="AE238" s="105" t="n"/>
      <c r="AF238" s="22" t="n"/>
      <c r="AG238" s="105" t="n"/>
      <c r="AH238" s="105" t="n"/>
      <c r="AI238" s="105" t="n"/>
      <c r="AJ238" s="105" t="n"/>
      <c r="AK238" s="21">
        <f>IF(Q238="ANULADA","N/A",IF(ABS(AJ238)&gt;10,"Pendiente",IF(MAX(AB238,AD238,AF238)=0,"Pendiente",MAX(0,MAX(AB238,AD238,AF238)-O238))))</f>
        <v/>
      </c>
    </row>
    <row r="239" hidden="1" ht="15" customHeight="1">
      <c r="A239" s="22" t="n"/>
      <c r="B239" s="22" t="n"/>
      <c r="C239" s="22" t="n"/>
      <c r="D239" s="13" t="n"/>
      <c r="E239" s="13" t="n"/>
      <c r="F239" s="13" t="n"/>
      <c r="G239" s="13" t="n"/>
      <c r="H239" s="23" t="n"/>
      <c r="I239" s="104" t="n"/>
      <c r="J239" s="105" t="n"/>
      <c r="K239" s="105" t="n"/>
      <c r="L239" s="13" t="n"/>
      <c r="M239" s="22" t="n"/>
      <c r="N239" s="24" t="n"/>
      <c r="O239" s="106" t="n"/>
      <c r="P239" s="22" t="n"/>
      <c r="Q239" s="39" t="n"/>
      <c r="R239" s="22" t="n"/>
      <c r="S239" s="105">
        <f>+J239</f>
        <v/>
      </c>
      <c r="T239" s="105" t="n"/>
      <c r="U239" s="105" t="n"/>
      <c r="V239" s="105" t="n"/>
      <c r="W239" s="105" t="n"/>
      <c r="X239" s="105" t="n"/>
      <c r="Y239" s="105" t="n"/>
      <c r="Z239" s="105" t="n"/>
      <c r="AA239" s="105" t="n"/>
      <c r="AB239" s="22" t="n"/>
      <c r="AC239" s="105" t="n"/>
      <c r="AD239" s="22" t="n"/>
      <c r="AE239" s="105" t="n"/>
      <c r="AF239" s="22" t="n"/>
      <c r="AG239" s="105" t="n"/>
      <c r="AH239" s="105" t="n"/>
      <c r="AI239" s="105" t="n"/>
      <c r="AJ239" s="105" t="n"/>
      <c r="AK239" s="21">
        <f>IF(Q239="ANULADA","N/A",IF(ABS(AJ239)&gt;10,"Pendiente",IF(MAX(AB239,AD239,AF239)=0,"Pendiente",MAX(0,MAX(AB239,AD239,AF239)-O239))))</f>
        <v/>
      </c>
    </row>
    <row r="240" hidden="1" ht="15" customHeight="1">
      <c r="A240" s="22" t="n"/>
      <c r="B240" s="22" t="n"/>
      <c r="C240" s="22" t="n"/>
      <c r="D240" s="13" t="n"/>
      <c r="E240" s="13" t="n"/>
      <c r="F240" s="13" t="n"/>
      <c r="G240" s="13" t="n"/>
      <c r="H240" s="23" t="n"/>
      <c r="I240" s="104" t="n"/>
      <c r="J240" s="105" t="n"/>
      <c r="K240" s="105" t="n"/>
      <c r="L240" s="13" t="n"/>
      <c r="M240" s="22" t="n"/>
      <c r="N240" s="24" t="n"/>
      <c r="O240" s="106" t="n"/>
      <c r="P240" s="22" t="n"/>
      <c r="Q240" s="39" t="n"/>
      <c r="R240" s="22" t="n"/>
      <c r="S240" s="105">
        <f>+J240</f>
        <v/>
      </c>
      <c r="T240" s="105" t="n"/>
      <c r="U240" s="105" t="n"/>
      <c r="V240" s="105" t="n"/>
      <c r="W240" s="105" t="n"/>
      <c r="X240" s="105" t="n"/>
      <c r="Y240" s="105" t="n"/>
      <c r="Z240" s="105" t="n"/>
      <c r="AA240" s="105" t="n"/>
      <c r="AB240" s="22" t="n"/>
      <c r="AC240" s="105" t="n"/>
      <c r="AD240" s="22" t="n"/>
      <c r="AE240" s="105" t="n"/>
      <c r="AF240" s="22" t="n"/>
      <c r="AG240" s="105" t="n"/>
      <c r="AH240" s="105" t="n"/>
      <c r="AI240" s="105" t="n"/>
      <c r="AJ240" s="105" t="n"/>
      <c r="AK240" s="21">
        <f>IF(Q240="ANULADA","N/A",IF(ABS(AJ240)&gt;10,"Pendiente",IF(MAX(AB240,AD240,AF240)=0,"Pendiente",MAX(0,MAX(AB240,AD240,AF240)-O240))))</f>
        <v/>
      </c>
    </row>
    <row r="241" hidden="1" ht="15" customHeight="1">
      <c r="A241" s="22" t="n"/>
      <c r="B241" s="22" t="n"/>
      <c r="C241" s="22" t="n"/>
      <c r="D241" s="13" t="n"/>
      <c r="E241" s="13" t="n"/>
      <c r="F241" s="13" t="n"/>
      <c r="G241" s="13" t="n"/>
      <c r="H241" s="23" t="n"/>
      <c r="I241" s="104" t="n"/>
      <c r="J241" s="105" t="n"/>
      <c r="K241" s="105" t="n"/>
      <c r="L241" s="13" t="n"/>
      <c r="M241" s="22" t="n"/>
      <c r="N241" s="24" t="n"/>
      <c r="O241" s="106" t="n"/>
      <c r="P241" s="22" t="n"/>
      <c r="Q241" s="22" t="n"/>
      <c r="R241" s="22" t="n"/>
      <c r="S241" s="105">
        <f>+J241</f>
        <v/>
      </c>
      <c r="T241" s="105" t="n"/>
      <c r="U241" s="105" t="n"/>
      <c r="V241" s="105" t="n"/>
      <c r="W241" s="105" t="n"/>
      <c r="X241" s="105" t="n"/>
      <c r="Y241" s="105" t="n"/>
      <c r="Z241" s="105" t="n"/>
      <c r="AA241" s="105" t="n"/>
      <c r="AB241" s="22" t="n"/>
      <c r="AC241" s="105" t="n"/>
      <c r="AD241" s="22" t="n"/>
      <c r="AE241" s="105" t="n"/>
      <c r="AF241" s="22" t="n"/>
      <c r="AG241" s="105" t="n"/>
      <c r="AH241" s="105" t="n"/>
      <c r="AI241" s="105" t="n"/>
      <c r="AJ241" s="105" t="n"/>
      <c r="AK241" s="21">
        <f>IF(Q241="ANULADA","N/A",IF(ABS(AJ241)&gt;10,"Pendiente",IF(MAX(AB241,AD241,AF241)=0,"Pendiente",MAX(0,MAX(AB241,AD241,AF241)-O241))))</f>
        <v/>
      </c>
    </row>
    <row r="242" hidden="1" ht="15" customHeight="1">
      <c r="A242" s="22" t="n"/>
      <c r="B242" s="22" t="n"/>
      <c r="C242" s="22" t="n"/>
      <c r="D242" s="13" t="n"/>
      <c r="E242" s="13" t="n"/>
      <c r="F242" s="13" t="n"/>
      <c r="G242" s="13" t="n"/>
      <c r="H242" s="23" t="n"/>
      <c r="I242" s="104" t="n"/>
      <c r="J242" s="105" t="n"/>
      <c r="K242" s="105" t="n"/>
      <c r="L242" s="13" t="n"/>
      <c r="M242" s="22" t="n"/>
      <c r="N242" s="24" t="n"/>
      <c r="O242" s="106" t="n"/>
      <c r="P242" s="22" t="n"/>
      <c r="Q242" s="22" t="n"/>
      <c r="R242" s="22" t="n"/>
      <c r="S242" s="105">
        <f>+J242</f>
        <v/>
      </c>
      <c r="T242" s="105" t="n"/>
      <c r="U242" s="105" t="n"/>
      <c r="V242" s="105" t="n"/>
      <c r="W242" s="105" t="n"/>
      <c r="X242" s="105" t="n"/>
      <c r="Y242" s="105" t="n"/>
      <c r="Z242" s="105" t="n"/>
      <c r="AA242" s="105" t="n"/>
      <c r="AB242" s="22" t="n"/>
      <c r="AC242" s="105" t="n"/>
      <c r="AD242" s="22" t="n"/>
      <c r="AE242" s="105" t="n"/>
      <c r="AF242" s="22" t="n"/>
      <c r="AG242" s="105" t="n"/>
      <c r="AH242" s="105" t="n"/>
      <c r="AI242" s="105" t="n"/>
      <c r="AJ242" s="105" t="n"/>
      <c r="AK242" s="21">
        <f>IF(Q242="ANULADA","N/A",IF(ABS(AJ242)&gt;10,"Pendiente",IF(MAX(AB242,AD242,AF242)=0,"Pendiente",MAX(0,MAX(AB242,AD242,AF242)-O242))))</f>
        <v/>
      </c>
    </row>
    <row r="243" hidden="1" ht="15" customHeight="1">
      <c r="A243" s="22" t="n"/>
      <c r="B243" s="22" t="n"/>
      <c r="C243" s="22" t="n"/>
      <c r="D243" s="13" t="n"/>
      <c r="E243" s="13" t="n"/>
      <c r="F243" s="13" t="n"/>
      <c r="G243" s="13" t="n"/>
      <c r="H243" s="23" t="n"/>
      <c r="I243" s="104" t="n"/>
      <c r="J243" s="105" t="n"/>
      <c r="K243" s="105" t="n"/>
      <c r="L243" s="13" t="n"/>
      <c r="M243" s="22" t="n"/>
      <c r="N243" s="24" t="n"/>
      <c r="O243" s="106" t="n"/>
      <c r="P243" s="22" t="n"/>
      <c r="Q243" s="22" t="n"/>
      <c r="R243" s="22" t="n"/>
      <c r="S243" s="105">
        <f>+J243</f>
        <v/>
      </c>
      <c r="T243" s="105" t="n"/>
      <c r="U243" s="105" t="n"/>
      <c r="V243" s="105" t="n"/>
      <c r="W243" s="105" t="n"/>
      <c r="X243" s="105" t="n"/>
      <c r="Y243" s="105" t="n"/>
      <c r="Z243" s="105" t="n"/>
      <c r="AA243" s="105" t="n"/>
      <c r="AB243" s="22" t="n"/>
      <c r="AC243" s="105" t="n"/>
      <c r="AD243" s="22" t="n"/>
      <c r="AE243" s="105" t="n"/>
      <c r="AF243" s="22" t="n"/>
      <c r="AG243" s="105" t="n"/>
      <c r="AH243" s="105" t="n"/>
      <c r="AI243" s="105" t="n"/>
      <c r="AJ243" s="105" t="n"/>
      <c r="AK243" s="21">
        <f>IF(Q243="ANULADA","N/A",IF(ABS(AJ243)&gt;10,"Pendiente",IF(MAX(AB243,AD243,AF243)=0,"Pendiente",MAX(0,MAX(AB243,AD243,AF243)-O243))))</f>
        <v/>
      </c>
    </row>
    <row r="244" hidden="1" ht="15" customHeight="1">
      <c r="A244" s="22" t="n"/>
      <c r="B244" s="22" t="n"/>
      <c r="C244" s="22" t="n"/>
      <c r="D244" s="13" t="n"/>
      <c r="E244" s="13" t="n"/>
      <c r="F244" s="13" t="n"/>
      <c r="G244" s="13" t="n"/>
      <c r="H244" s="23" t="n"/>
      <c r="I244" s="104" t="n"/>
      <c r="J244" s="105" t="n"/>
      <c r="K244" s="105" t="n"/>
      <c r="L244" s="13" t="n"/>
      <c r="M244" s="22" t="n"/>
      <c r="N244" s="24" t="n"/>
      <c r="O244" s="106" t="n"/>
      <c r="P244" s="22" t="n"/>
      <c r="Q244" s="39" t="n"/>
      <c r="R244" s="22" t="n"/>
      <c r="S244" s="105">
        <f>+J244</f>
        <v/>
      </c>
      <c r="T244" s="105" t="n"/>
      <c r="U244" s="105" t="n"/>
      <c r="V244" s="105" t="n"/>
      <c r="W244" s="105" t="n"/>
      <c r="X244" s="105" t="n"/>
      <c r="Y244" s="105" t="n"/>
      <c r="Z244" s="105" t="n"/>
      <c r="AA244" s="105" t="n"/>
      <c r="AB244" s="22" t="n"/>
      <c r="AC244" s="105" t="n"/>
      <c r="AD244" s="22" t="n"/>
      <c r="AE244" s="105" t="n"/>
      <c r="AF244" s="22" t="n"/>
      <c r="AG244" s="105" t="n"/>
      <c r="AH244" s="105" t="n"/>
      <c r="AI244" s="105" t="n"/>
      <c r="AJ244" s="105" t="n"/>
      <c r="AK244" s="21">
        <f>IF(Q244="ANULADA","N/A",IF(ABS(AJ244)&gt;10,"Pendiente",IF(MAX(AB244,AD244,AF244)=0,"Pendiente",MAX(0,MAX(AB244,AD244,AF244)-O244))))</f>
        <v/>
      </c>
    </row>
    <row r="245" hidden="1" ht="15" customHeight="1">
      <c r="A245" s="22" t="n"/>
      <c r="B245" s="22" t="n"/>
      <c r="C245" s="22" t="n"/>
      <c r="D245" s="13" t="n"/>
      <c r="E245" s="13" t="n"/>
      <c r="F245" s="13" t="n"/>
      <c r="G245" s="13" t="n"/>
      <c r="H245" s="23" t="n"/>
      <c r="I245" s="104" t="n"/>
      <c r="J245" s="105" t="n"/>
      <c r="K245" s="105" t="n"/>
      <c r="L245" s="13" t="n"/>
      <c r="M245" s="22" t="n"/>
      <c r="N245" s="24" t="n"/>
      <c r="O245" s="106" t="n"/>
      <c r="P245" s="22" t="n"/>
      <c r="Q245" s="22" t="n"/>
      <c r="R245" s="22" t="n"/>
      <c r="S245" s="105">
        <f>+J245</f>
        <v/>
      </c>
      <c r="T245" s="105" t="n"/>
      <c r="U245" s="105" t="n"/>
      <c r="V245" s="105" t="n"/>
      <c r="W245" s="105" t="n"/>
      <c r="X245" s="105" t="n"/>
      <c r="Y245" s="105" t="n"/>
      <c r="Z245" s="105" t="n"/>
      <c r="AA245" s="105" t="n"/>
      <c r="AB245" s="22" t="n"/>
      <c r="AC245" s="105" t="n"/>
      <c r="AD245" s="22" t="n"/>
      <c r="AE245" s="105" t="n"/>
      <c r="AF245" s="22" t="n"/>
      <c r="AG245" s="105" t="n"/>
      <c r="AH245" s="105" t="n"/>
      <c r="AI245" s="105" t="n"/>
      <c r="AJ245" s="105" t="n"/>
      <c r="AK245" s="21">
        <f>IF(Q245="ANULADA","N/A",IF(ABS(AJ245)&gt;10,"Pendiente",IF(MAX(AB245,AD245,AF245)=0,"Pendiente",MAX(0,MAX(AB245,AD245,AF245)-O245))))</f>
        <v/>
      </c>
    </row>
    <row r="246" hidden="1" ht="15" customHeight="1">
      <c r="A246" s="22" t="n"/>
      <c r="B246" s="22" t="n"/>
      <c r="C246" s="22" t="n"/>
      <c r="D246" s="13" t="n"/>
      <c r="E246" s="13" t="n"/>
      <c r="F246" s="13" t="n"/>
      <c r="G246" s="13" t="n"/>
      <c r="H246" s="23" t="n"/>
      <c r="I246" s="104" t="n"/>
      <c r="J246" s="105" t="n"/>
      <c r="K246" s="105" t="n"/>
      <c r="L246" s="13" t="n"/>
      <c r="M246" s="22" t="n"/>
      <c r="N246" s="24" t="n"/>
      <c r="O246" s="106" t="n"/>
      <c r="P246" s="22" t="n"/>
      <c r="Q246" s="39" t="n"/>
      <c r="R246" s="22" t="n"/>
      <c r="S246" s="105">
        <f>+J246</f>
        <v/>
      </c>
      <c r="T246" s="105" t="n"/>
      <c r="U246" s="105" t="n"/>
      <c r="V246" s="105" t="n"/>
      <c r="W246" s="105" t="n"/>
      <c r="X246" s="105" t="n"/>
      <c r="Y246" s="105" t="n"/>
      <c r="Z246" s="105" t="n"/>
      <c r="AA246" s="105" t="n"/>
      <c r="AB246" s="22" t="n"/>
      <c r="AC246" s="105" t="n"/>
      <c r="AD246" s="22" t="n"/>
      <c r="AE246" s="105" t="n"/>
      <c r="AF246" s="22" t="n"/>
      <c r="AG246" s="105" t="n"/>
      <c r="AH246" s="105" t="n"/>
      <c r="AI246" s="105" t="n"/>
      <c r="AJ246" s="105" t="n"/>
      <c r="AK246" s="21">
        <f>IF(Q246="ANULADA","N/A",IF(ABS(AJ246)&gt;10,"Pendiente",IF(MAX(AB246,AD246,AF246)=0,"Pendiente",MAX(0,MAX(AB246,AD246,AF246)-O246))))</f>
        <v/>
      </c>
    </row>
    <row r="247" hidden="1" ht="15" customHeight="1">
      <c r="A247" s="22" t="n"/>
      <c r="B247" s="22" t="n"/>
      <c r="C247" s="22" t="n"/>
      <c r="D247" s="13" t="n"/>
      <c r="E247" s="13" t="n"/>
      <c r="F247" s="13" t="n"/>
      <c r="G247" s="13" t="n"/>
      <c r="H247" s="23" t="n"/>
      <c r="I247" s="104" t="n"/>
      <c r="J247" s="105" t="n"/>
      <c r="K247" s="105" t="n"/>
      <c r="L247" s="13" t="n"/>
      <c r="M247" s="22" t="n"/>
      <c r="N247" s="24" t="n"/>
      <c r="O247" s="106" t="n"/>
      <c r="P247" s="22" t="n"/>
      <c r="Q247" s="39" t="n"/>
      <c r="R247" s="22" t="n"/>
      <c r="S247" s="105">
        <f>+J247</f>
        <v/>
      </c>
      <c r="T247" s="105" t="n"/>
      <c r="U247" s="105" t="n"/>
      <c r="V247" s="105" t="n"/>
      <c r="W247" s="105" t="n"/>
      <c r="X247" s="105" t="n"/>
      <c r="Y247" s="105" t="n"/>
      <c r="Z247" s="105" t="n"/>
      <c r="AA247" s="105" t="n"/>
      <c r="AB247" s="22" t="n"/>
      <c r="AC247" s="105" t="n"/>
      <c r="AD247" s="22" t="n"/>
      <c r="AE247" s="105" t="n"/>
      <c r="AF247" s="22" t="n"/>
      <c r="AG247" s="105" t="n"/>
      <c r="AH247" s="105" t="n"/>
      <c r="AI247" s="105" t="n"/>
      <c r="AJ247" s="105" t="n"/>
      <c r="AK247" s="21">
        <f>IF(Q247="ANULADA","N/A",IF(ABS(AJ247)&gt;10,"Pendiente",IF(MAX(AB247,AD247,AF247)=0,"Pendiente",MAX(0,MAX(AB247,AD247,AF247)-O247))))</f>
        <v/>
      </c>
    </row>
    <row r="248" hidden="1" ht="15" customHeight="1">
      <c r="A248" s="22" t="n"/>
      <c r="B248" s="22" t="n"/>
      <c r="C248" s="22" t="n"/>
      <c r="D248" s="13" t="n"/>
      <c r="E248" s="13" t="n"/>
      <c r="F248" s="13" t="n"/>
      <c r="G248" s="13" t="n"/>
      <c r="H248" s="23" t="n"/>
      <c r="I248" s="104" t="n"/>
      <c r="J248" s="105" t="n"/>
      <c r="K248" s="105" t="n"/>
      <c r="L248" s="13" t="n"/>
      <c r="M248" s="22" t="n"/>
      <c r="N248" s="24" t="n"/>
      <c r="O248" s="106" t="n"/>
      <c r="P248" s="22" t="n"/>
      <c r="Q248" s="22" t="n"/>
      <c r="R248" s="22" t="n"/>
      <c r="S248" s="105">
        <f>+J248</f>
        <v/>
      </c>
      <c r="T248" s="105" t="n"/>
      <c r="U248" s="105" t="n"/>
      <c r="V248" s="105" t="n"/>
      <c r="W248" s="105" t="n"/>
      <c r="X248" s="105" t="n"/>
      <c r="Y248" s="105" t="n"/>
      <c r="Z248" s="105" t="n"/>
      <c r="AA248" s="105" t="n"/>
      <c r="AB248" s="22" t="n"/>
      <c r="AC248" s="105" t="n"/>
      <c r="AD248" s="22" t="n"/>
      <c r="AE248" s="105" t="n"/>
      <c r="AF248" s="22" t="n"/>
      <c r="AG248" s="105" t="n"/>
      <c r="AH248" s="105" t="n"/>
      <c r="AI248" s="105" t="n"/>
      <c r="AJ248" s="105" t="n"/>
      <c r="AK248" s="21">
        <f>IF(Q248="ANULADA","N/A",IF(ABS(AJ248)&gt;10,"Pendiente",IF(MAX(AB248,AD248,AF248)=0,"Pendiente",MAX(0,MAX(AB248,AD248,AF248)-O248))))</f>
        <v/>
      </c>
    </row>
    <row r="249" hidden="1" ht="15" customHeight="1">
      <c r="A249" s="22" t="n"/>
      <c r="B249" s="22" t="n"/>
      <c r="C249" s="22" t="n"/>
      <c r="D249" s="13" t="n"/>
      <c r="E249" s="13" t="n"/>
      <c r="F249" s="13" t="n"/>
      <c r="G249" s="13" t="n"/>
      <c r="H249" s="23" t="n"/>
      <c r="I249" s="104" t="n"/>
      <c r="J249" s="105" t="n"/>
      <c r="K249" s="105" t="n"/>
      <c r="L249" s="13" t="n"/>
      <c r="M249" s="22" t="n"/>
      <c r="N249" s="24" t="n"/>
      <c r="O249" s="106" t="n"/>
      <c r="P249" s="22" t="n"/>
      <c r="Q249" s="22" t="n"/>
      <c r="R249" s="22" t="n"/>
      <c r="S249" s="105">
        <f>+J249</f>
        <v/>
      </c>
      <c r="T249" s="105" t="n"/>
      <c r="U249" s="105" t="n"/>
      <c r="V249" s="105" t="n"/>
      <c r="W249" s="105" t="n"/>
      <c r="X249" s="105" t="n"/>
      <c r="Y249" s="105" t="n"/>
      <c r="Z249" s="105" t="n"/>
      <c r="AA249" s="105" t="n"/>
      <c r="AB249" s="22" t="n"/>
      <c r="AC249" s="105" t="n"/>
      <c r="AD249" s="22" t="n"/>
      <c r="AE249" s="105" t="n"/>
      <c r="AF249" s="22" t="n"/>
      <c r="AG249" s="105" t="n"/>
      <c r="AH249" s="105" t="n"/>
      <c r="AI249" s="105" t="n"/>
      <c r="AJ249" s="105" t="n"/>
      <c r="AK249" s="21">
        <f>IF(Q249="ANULADA","N/A",IF(ABS(AJ249)&gt;10,"Pendiente",IF(MAX(AB249,AD249,AF249)=0,"Pendiente",MAX(0,MAX(AB249,AD249,AF249)-O249))))</f>
        <v/>
      </c>
    </row>
    <row r="250" hidden="1" ht="15" customHeight="1">
      <c r="A250" s="22" t="n"/>
      <c r="B250" s="22" t="n"/>
      <c r="C250" s="22" t="n"/>
      <c r="D250" s="13" t="n"/>
      <c r="E250" s="13" t="n"/>
      <c r="F250" s="13" t="n"/>
      <c r="G250" s="13" t="n"/>
      <c r="H250" s="23" t="n"/>
      <c r="I250" s="104" t="n"/>
      <c r="J250" s="105" t="n"/>
      <c r="K250" s="105" t="n"/>
      <c r="L250" s="13" t="n"/>
      <c r="M250" s="22" t="n"/>
      <c r="N250" s="24" t="n"/>
      <c r="O250" s="106" t="n"/>
      <c r="P250" s="22" t="n"/>
      <c r="Q250" s="22" t="n"/>
      <c r="R250" s="22" t="n"/>
      <c r="S250" s="105">
        <f>+J250</f>
        <v/>
      </c>
      <c r="T250" s="105" t="n"/>
      <c r="U250" s="105" t="n"/>
      <c r="V250" s="105" t="n"/>
      <c r="W250" s="105" t="n"/>
      <c r="X250" s="105" t="n"/>
      <c r="Y250" s="105" t="n"/>
      <c r="Z250" s="105" t="n"/>
      <c r="AA250" s="105" t="n"/>
      <c r="AB250" s="22" t="n"/>
      <c r="AC250" s="105" t="n"/>
      <c r="AD250" s="22" t="n"/>
      <c r="AE250" s="105" t="n"/>
      <c r="AF250" s="22" t="n"/>
      <c r="AG250" s="105" t="n"/>
      <c r="AH250" s="105" t="n"/>
      <c r="AI250" s="105" t="n"/>
      <c r="AJ250" s="105" t="n"/>
      <c r="AK250" s="21">
        <f>IF(Q250="ANULADA","N/A",IF(ABS(AJ250)&gt;10,"Pendiente",IF(MAX(AB250,AD250,AF250)=0,"Pendiente",MAX(0,MAX(AB250,AD250,AF250)-O250))))</f>
        <v/>
      </c>
    </row>
    <row r="251" hidden="1" ht="15" customHeight="1">
      <c r="A251" s="22" t="n"/>
      <c r="B251" s="22" t="n"/>
      <c r="C251" s="22" t="n"/>
      <c r="D251" s="13" t="n"/>
      <c r="E251" s="13" t="n"/>
      <c r="F251" s="13" t="n"/>
      <c r="G251" s="13" t="n"/>
      <c r="H251" s="23" t="n"/>
      <c r="I251" s="104" t="n"/>
      <c r="J251" s="105" t="n"/>
      <c r="K251" s="105" t="n"/>
      <c r="L251" s="13" t="n"/>
      <c r="M251" s="22" t="n"/>
      <c r="N251" s="24" t="n"/>
      <c r="O251" s="106" t="n"/>
      <c r="P251" s="22" t="n"/>
      <c r="Q251" s="39" t="n"/>
      <c r="R251" s="22" t="n"/>
      <c r="S251" s="105">
        <f>+J251</f>
        <v/>
      </c>
      <c r="T251" s="105" t="n"/>
      <c r="U251" s="105" t="n"/>
      <c r="V251" s="105" t="n"/>
      <c r="W251" s="105" t="n"/>
      <c r="X251" s="105" t="n"/>
      <c r="Y251" s="105" t="n"/>
      <c r="Z251" s="105" t="n"/>
      <c r="AA251" s="105" t="n"/>
      <c r="AB251" s="22" t="n"/>
      <c r="AC251" s="105" t="n"/>
      <c r="AD251" s="22" t="n"/>
      <c r="AE251" s="105" t="n"/>
      <c r="AF251" s="22" t="n"/>
      <c r="AG251" s="105" t="n"/>
      <c r="AH251" s="105" t="n"/>
      <c r="AI251" s="105" t="n"/>
      <c r="AJ251" s="105" t="n"/>
      <c r="AK251" s="21">
        <f>IF(Q251="ANULADA","N/A",IF(ABS(AJ251)&gt;10,"Pendiente",IF(MAX(AB251,AD251,AF251)=0,"Pendiente",MAX(0,MAX(AB251,AD251,AF251)-O251))))</f>
        <v/>
      </c>
    </row>
    <row r="252" hidden="1" ht="15" customHeight="1">
      <c r="A252" s="22" t="n"/>
      <c r="B252" s="22" t="n"/>
      <c r="C252" s="22" t="n"/>
      <c r="D252" s="13" t="n"/>
      <c r="E252" s="13" t="n"/>
      <c r="F252" s="13" t="n"/>
      <c r="G252" s="13" t="n"/>
      <c r="H252" s="23" t="n"/>
      <c r="I252" s="104" t="n"/>
      <c r="J252" s="105" t="n"/>
      <c r="K252" s="105" t="n"/>
      <c r="L252" s="13" t="n"/>
      <c r="M252" s="22" t="n"/>
      <c r="N252" s="24" t="n"/>
      <c r="O252" s="106" t="n"/>
      <c r="P252" s="22" t="n"/>
      <c r="Q252" s="22" t="n"/>
      <c r="R252" s="22" t="n"/>
      <c r="S252" s="105">
        <f>+J252</f>
        <v/>
      </c>
      <c r="T252" s="105" t="n"/>
      <c r="U252" s="105" t="n"/>
      <c r="V252" s="105" t="n"/>
      <c r="W252" s="105" t="n"/>
      <c r="X252" s="105" t="n"/>
      <c r="Y252" s="105" t="n"/>
      <c r="Z252" s="105" t="n"/>
      <c r="AA252" s="105" t="n"/>
      <c r="AB252" s="22" t="n"/>
      <c r="AC252" s="105" t="n"/>
      <c r="AD252" s="22" t="n"/>
      <c r="AE252" s="105" t="n"/>
      <c r="AF252" s="22" t="n"/>
      <c r="AG252" s="105" t="n"/>
      <c r="AH252" s="105" t="n"/>
      <c r="AI252" s="105" t="n"/>
      <c r="AJ252" s="105" t="n"/>
      <c r="AK252" s="21">
        <f>IF(Q252="ANULADA","N/A",IF(ABS(AJ252)&gt;10,"Pendiente",IF(MAX(AB252,AD252,AF252)=0,"Pendiente",MAX(0,MAX(AB252,AD252,AF252)-O252))))</f>
        <v/>
      </c>
    </row>
    <row r="253" hidden="1" ht="15" customHeight="1">
      <c r="A253" s="22" t="n"/>
      <c r="B253" s="22" t="n"/>
      <c r="C253" s="22" t="n"/>
      <c r="D253" s="13" t="n"/>
      <c r="E253" s="13" t="n"/>
      <c r="F253" s="13" t="n"/>
      <c r="G253" s="13" t="n"/>
      <c r="H253" s="23" t="n"/>
      <c r="I253" s="104" t="n"/>
      <c r="J253" s="105" t="n"/>
      <c r="K253" s="105" t="n"/>
      <c r="L253" s="13" t="n"/>
      <c r="M253" s="22" t="n"/>
      <c r="N253" s="24" t="n"/>
      <c r="O253" s="106" t="n"/>
      <c r="P253" s="22" t="n"/>
      <c r="Q253" s="39" t="n"/>
      <c r="R253" s="22" t="n"/>
      <c r="S253" s="105">
        <f>+J253</f>
        <v/>
      </c>
      <c r="T253" s="105" t="n"/>
      <c r="U253" s="105" t="n"/>
      <c r="V253" s="105" t="n"/>
      <c r="W253" s="105" t="n"/>
      <c r="X253" s="105" t="n"/>
      <c r="Y253" s="105" t="n"/>
      <c r="Z253" s="105" t="n"/>
      <c r="AA253" s="105" t="n"/>
      <c r="AB253" s="22" t="n"/>
      <c r="AC253" s="105" t="n"/>
      <c r="AD253" s="22" t="n"/>
      <c r="AE253" s="105" t="n"/>
      <c r="AF253" s="22" t="n"/>
      <c r="AG253" s="105" t="n"/>
      <c r="AH253" s="105" t="n"/>
      <c r="AI253" s="105" t="n"/>
      <c r="AJ253" s="105" t="n"/>
      <c r="AK253" s="21">
        <f>IF(Q253="ANULADA","N/A",IF(ABS(AJ253)&gt;10,"Pendiente",IF(MAX(AB253,AD253,AF253)=0,"Pendiente",MAX(0,MAX(AB253,AD253,AF253)-O253))))</f>
        <v/>
      </c>
    </row>
    <row r="254" hidden="1" ht="15" customHeight="1">
      <c r="A254" s="22" t="n"/>
      <c r="B254" s="22" t="n"/>
      <c r="C254" s="22" t="n"/>
      <c r="D254" s="13" t="n"/>
      <c r="E254" s="13" t="n"/>
      <c r="F254" s="13" t="n"/>
      <c r="G254" s="13" t="n"/>
      <c r="H254" s="23" t="n"/>
      <c r="I254" s="104" t="n"/>
      <c r="J254" s="105" t="n"/>
      <c r="K254" s="105" t="n"/>
      <c r="L254" s="13" t="n"/>
      <c r="M254" s="22" t="n"/>
      <c r="N254" s="24" t="n"/>
      <c r="O254" s="106" t="n"/>
      <c r="P254" s="22" t="n"/>
      <c r="Q254" s="39" t="n"/>
      <c r="R254" s="22" t="n"/>
      <c r="S254" s="105">
        <f>+J254</f>
        <v/>
      </c>
      <c r="T254" s="105" t="n"/>
      <c r="U254" s="105" t="n"/>
      <c r="V254" s="105" t="n"/>
      <c r="W254" s="105" t="n"/>
      <c r="X254" s="105" t="n"/>
      <c r="Y254" s="105" t="n"/>
      <c r="Z254" s="105" t="n"/>
      <c r="AA254" s="105" t="n"/>
      <c r="AB254" s="22" t="n"/>
      <c r="AC254" s="105" t="n"/>
      <c r="AD254" s="22" t="n"/>
      <c r="AE254" s="105" t="n"/>
      <c r="AF254" s="22" t="n"/>
      <c r="AG254" s="105" t="n"/>
      <c r="AH254" s="105" t="n"/>
      <c r="AI254" s="105" t="n"/>
      <c r="AJ254" s="105" t="n"/>
      <c r="AK254" s="21">
        <f>IF(Q254="ANULADA","N/A",IF(ABS(AJ254)&gt;10,"Pendiente",IF(MAX(AB254,AD254,AF254)=0,"Pendiente",MAX(0,MAX(AB254,AD254,AF254)-O254))))</f>
        <v/>
      </c>
    </row>
    <row r="255" hidden="1" ht="15" customHeight="1">
      <c r="A255" s="22" t="n"/>
      <c r="B255" s="22" t="n"/>
      <c r="C255" s="22" t="n"/>
      <c r="D255" s="13" t="n"/>
      <c r="E255" s="13" t="n"/>
      <c r="F255" s="13" t="n"/>
      <c r="G255" s="13" t="n"/>
      <c r="H255" s="23" t="n"/>
      <c r="I255" s="104" t="n"/>
      <c r="J255" s="105" t="n"/>
      <c r="K255" s="105" t="n"/>
      <c r="L255" s="13" t="n"/>
      <c r="M255" s="22" t="n"/>
      <c r="N255" s="24" t="n"/>
      <c r="O255" s="106" t="n"/>
      <c r="P255" s="22" t="n"/>
      <c r="Q255" s="22" t="n"/>
      <c r="R255" s="22" t="n"/>
      <c r="S255" s="105">
        <f>+J255</f>
        <v/>
      </c>
      <c r="T255" s="105" t="n"/>
      <c r="U255" s="105" t="n"/>
      <c r="V255" s="105" t="n"/>
      <c r="W255" s="105" t="n"/>
      <c r="X255" s="105" t="n"/>
      <c r="Y255" s="105" t="n"/>
      <c r="Z255" s="105" t="n"/>
      <c r="AA255" s="105" t="n"/>
      <c r="AB255" s="22" t="n"/>
      <c r="AC255" s="105" t="n"/>
      <c r="AD255" s="22" t="n"/>
      <c r="AE255" s="105" t="n"/>
      <c r="AF255" s="22" t="n"/>
      <c r="AG255" s="105" t="n"/>
      <c r="AH255" s="105" t="n"/>
      <c r="AI255" s="105" t="n"/>
      <c r="AJ255" s="105" t="n"/>
      <c r="AK255" s="21">
        <f>IF(Q255="ANULADA","N/A",IF(ABS(AJ255)&gt;10,"Pendiente",IF(MAX(AB255,AD255,AF255)=0,"Pendiente",MAX(0,MAX(AB255,AD255,AF255)-O255))))</f>
        <v/>
      </c>
    </row>
    <row r="256" hidden="1" ht="15" customHeight="1">
      <c r="A256" s="22" t="n"/>
      <c r="B256" s="22" t="n"/>
      <c r="C256" s="22" t="n"/>
      <c r="D256" s="13" t="n"/>
      <c r="E256" s="13" t="n"/>
      <c r="F256" s="13" t="n"/>
      <c r="G256" s="13" t="n"/>
      <c r="H256" s="23" t="n"/>
      <c r="I256" s="104" t="n"/>
      <c r="J256" s="105" t="n"/>
      <c r="K256" s="105" t="n"/>
      <c r="L256" s="13" t="n"/>
      <c r="M256" s="22" t="n"/>
      <c r="N256" s="24" t="n"/>
      <c r="O256" s="106" t="n"/>
      <c r="P256" s="22" t="n"/>
      <c r="Q256" s="22" t="n"/>
      <c r="R256" s="22" t="n"/>
      <c r="S256" s="105">
        <f>+J256</f>
        <v/>
      </c>
      <c r="T256" s="105" t="n"/>
      <c r="U256" s="105" t="n"/>
      <c r="V256" s="105" t="n"/>
      <c r="W256" s="105" t="n"/>
      <c r="X256" s="105" t="n"/>
      <c r="Y256" s="105" t="n"/>
      <c r="Z256" s="105" t="n"/>
      <c r="AA256" s="105" t="n"/>
      <c r="AB256" s="22" t="n"/>
      <c r="AC256" s="105" t="n"/>
      <c r="AD256" s="22" t="n"/>
      <c r="AE256" s="105" t="n"/>
      <c r="AF256" s="22" t="n"/>
      <c r="AG256" s="105" t="n"/>
      <c r="AH256" s="105" t="n"/>
      <c r="AI256" s="105" t="n"/>
      <c r="AJ256" s="105" t="n"/>
      <c r="AK256" s="21">
        <f>IF(Q256="ANULADA","N/A",IF(ABS(AJ256)&gt;10,"Pendiente",IF(MAX(AB256,AD256,AF256)=0,"Pendiente",MAX(0,MAX(AB256,AD256,AF256)-O256))))</f>
        <v/>
      </c>
    </row>
    <row r="257" hidden="1" ht="15" customHeight="1">
      <c r="A257" s="22" t="n"/>
      <c r="B257" s="22" t="n"/>
      <c r="C257" s="22" t="n"/>
      <c r="D257" s="13" t="n"/>
      <c r="E257" s="13" t="n"/>
      <c r="F257" s="13" t="n"/>
      <c r="G257" s="13" t="n"/>
      <c r="H257" s="23" t="n"/>
      <c r="I257" s="104" t="n"/>
      <c r="J257" s="105" t="n"/>
      <c r="K257" s="105" t="n"/>
      <c r="L257" s="13" t="n"/>
      <c r="M257" s="22" t="n"/>
      <c r="N257" s="24" t="n"/>
      <c r="O257" s="106" t="n"/>
      <c r="P257" s="22" t="n"/>
      <c r="Q257" s="22" t="n"/>
      <c r="R257" s="22" t="n"/>
      <c r="S257" s="105">
        <f>+J257</f>
        <v/>
      </c>
      <c r="T257" s="105" t="n"/>
      <c r="U257" s="105" t="n"/>
      <c r="V257" s="105" t="n"/>
      <c r="W257" s="105" t="n"/>
      <c r="X257" s="105" t="n"/>
      <c r="Y257" s="105" t="n"/>
      <c r="Z257" s="105" t="n"/>
      <c r="AA257" s="105" t="n"/>
      <c r="AB257" s="22" t="n"/>
      <c r="AC257" s="105" t="n"/>
      <c r="AD257" s="22" t="n"/>
      <c r="AE257" s="105" t="n"/>
      <c r="AF257" s="22" t="n"/>
      <c r="AG257" s="105" t="n"/>
      <c r="AH257" s="105" t="n"/>
      <c r="AI257" s="105" t="n"/>
      <c r="AJ257" s="105" t="n"/>
      <c r="AK257" s="21">
        <f>IF(Q257="ANULADA","N/A",IF(ABS(AJ257)&gt;10,"Pendiente",IF(MAX(AB257,AD257,AF257)=0,"Pendiente",MAX(0,MAX(AB257,AD257,AF257)-O257))))</f>
        <v/>
      </c>
    </row>
    <row r="258" hidden="1" ht="15" customHeight="1">
      <c r="A258" s="22" t="n"/>
      <c r="B258" s="22" t="n"/>
      <c r="C258" s="22" t="n"/>
      <c r="D258" s="13" t="n"/>
      <c r="E258" s="13" t="n"/>
      <c r="F258" s="13" t="n"/>
      <c r="G258" s="13" t="n"/>
      <c r="H258" s="23" t="n"/>
      <c r="I258" s="104" t="n"/>
      <c r="J258" s="105" t="n"/>
      <c r="K258" s="105" t="n"/>
      <c r="L258" s="13" t="n"/>
      <c r="M258" s="22" t="n"/>
      <c r="N258" s="24" t="n"/>
      <c r="O258" s="106" t="n"/>
      <c r="P258" s="22" t="n"/>
      <c r="Q258" s="39" t="n"/>
      <c r="R258" s="22" t="n"/>
      <c r="S258" s="105">
        <f>+J258</f>
        <v/>
      </c>
      <c r="T258" s="105" t="n"/>
      <c r="U258" s="105" t="n"/>
      <c r="V258" s="105" t="n"/>
      <c r="W258" s="105" t="n"/>
      <c r="X258" s="105" t="n"/>
      <c r="Y258" s="105" t="n"/>
      <c r="Z258" s="105" t="n"/>
      <c r="AA258" s="105" t="n"/>
      <c r="AB258" s="22" t="n"/>
      <c r="AC258" s="105" t="n"/>
      <c r="AD258" s="22" t="n"/>
      <c r="AE258" s="105" t="n"/>
      <c r="AF258" s="22" t="n"/>
      <c r="AG258" s="105" t="n"/>
      <c r="AH258" s="105" t="n"/>
      <c r="AI258" s="105" t="n"/>
      <c r="AJ258" s="105" t="n"/>
      <c r="AK258" s="21">
        <f>IF(Q258="ANULADA","N/A",IF(ABS(AJ258)&gt;10,"Pendiente",IF(MAX(AB258,AD258,AF258)=0,"Pendiente",MAX(0,MAX(AB258,AD258,AF258)-O258))))</f>
        <v/>
      </c>
    </row>
    <row r="259" hidden="1" ht="15" customHeight="1">
      <c r="A259" s="22" t="n"/>
      <c r="B259" s="22" t="n"/>
      <c r="C259" s="22" t="n"/>
      <c r="D259" s="13" t="n"/>
      <c r="E259" s="13" t="n"/>
      <c r="F259" s="13" t="n"/>
      <c r="G259" s="13" t="n"/>
      <c r="H259" s="23" t="n"/>
      <c r="I259" s="104" t="n"/>
      <c r="J259" s="105" t="n"/>
      <c r="K259" s="105" t="n"/>
      <c r="L259" s="13" t="n"/>
      <c r="M259" s="22" t="n"/>
      <c r="N259" s="24" t="n"/>
      <c r="O259" s="106" t="n"/>
      <c r="P259" s="22" t="n"/>
      <c r="Q259" s="22" t="n"/>
      <c r="R259" s="22" t="n"/>
      <c r="S259" s="105">
        <f>+J259</f>
        <v/>
      </c>
      <c r="T259" s="105" t="n"/>
      <c r="U259" s="105" t="n"/>
      <c r="V259" s="105" t="n"/>
      <c r="W259" s="105" t="n"/>
      <c r="X259" s="105" t="n"/>
      <c r="Y259" s="105" t="n"/>
      <c r="Z259" s="105" t="n"/>
      <c r="AA259" s="105" t="n"/>
      <c r="AB259" s="22" t="n"/>
      <c r="AC259" s="105" t="n"/>
      <c r="AD259" s="22" t="n"/>
      <c r="AE259" s="105" t="n"/>
      <c r="AF259" s="22" t="n"/>
      <c r="AG259" s="105" t="n"/>
      <c r="AH259" s="105" t="n"/>
      <c r="AI259" s="105" t="n"/>
      <c r="AJ259" s="105" t="n"/>
      <c r="AK259" s="21">
        <f>IF(Q259="ANULADA","N/A",IF(ABS(AJ259)&gt;10,"Pendiente",IF(MAX(AB259,AD259,AF259)=0,"Pendiente",MAX(0,MAX(AB259,AD259,AF259)-O259))))</f>
        <v/>
      </c>
    </row>
    <row r="260" hidden="1" ht="15" customHeight="1">
      <c r="A260" s="22" t="n"/>
      <c r="B260" s="22" t="n"/>
      <c r="C260" s="22" t="n"/>
      <c r="D260" s="13" t="n"/>
      <c r="E260" s="13" t="n"/>
      <c r="F260" s="13" t="n"/>
      <c r="G260" s="13" t="n"/>
      <c r="H260" s="23" t="n"/>
      <c r="I260" s="104" t="n"/>
      <c r="J260" s="105" t="n"/>
      <c r="K260" s="105" t="n"/>
      <c r="L260" s="13" t="n"/>
      <c r="M260" s="22" t="n"/>
      <c r="N260" s="24" t="n"/>
      <c r="O260" s="106" t="n"/>
      <c r="P260" s="22" t="n"/>
      <c r="Q260" s="39" t="n"/>
      <c r="R260" s="22" t="n"/>
      <c r="S260" s="105">
        <f>+J260</f>
        <v/>
      </c>
      <c r="T260" s="105" t="n"/>
      <c r="U260" s="105" t="n"/>
      <c r="V260" s="105" t="n"/>
      <c r="W260" s="105" t="n"/>
      <c r="X260" s="105" t="n"/>
      <c r="Y260" s="105" t="n"/>
      <c r="Z260" s="105" t="n"/>
      <c r="AA260" s="105" t="n"/>
      <c r="AB260" s="22" t="n"/>
      <c r="AC260" s="105" t="n"/>
      <c r="AD260" s="22" t="n"/>
      <c r="AE260" s="105" t="n"/>
      <c r="AF260" s="22" t="n"/>
      <c r="AG260" s="105" t="n"/>
      <c r="AH260" s="105" t="n"/>
      <c r="AI260" s="105" t="n"/>
      <c r="AJ260" s="105" t="n"/>
      <c r="AK260" s="21">
        <f>IF(Q260="ANULADA","N/A",IF(ABS(AJ260)&gt;10,"Pendiente",IF(MAX(AB260,AD260,AF260)=0,"Pendiente",MAX(0,MAX(AB260,AD260,AF260)-O260))))</f>
        <v/>
      </c>
    </row>
    <row r="261" hidden="1" ht="15" customHeight="1">
      <c r="A261" s="22" t="n"/>
      <c r="B261" s="22" t="n"/>
      <c r="C261" s="22" t="n"/>
      <c r="D261" s="13" t="n"/>
      <c r="E261" s="13" t="n"/>
      <c r="F261" s="13" t="n"/>
      <c r="G261" s="13" t="n"/>
      <c r="H261" s="23" t="n"/>
      <c r="I261" s="104" t="n"/>
      <c r="J261" s="105" t="n"/>
      <c r="K261" s="105" t="n"/>
      <c r="L261" s="13" t="n"/>
      <c r="M261" s="22" t="n"/>
      <c r="N261" s="24" t="n"/>
      <c r="O261" s="106" t="n"/>
      <c r="P261" s="22" t="n"/>
      <c r="Q261" s="39" t="n"/>
      <c r="R261" s="22" t="n"/>
      <c r="S261" s="105">
        <f>+J261</f>
        <v/>
      </c>
      <c r="T261" s="105" t="n"/>
      <c r="U261" s="105" t="n"/>
      <c r="V261" s="105" t="n"/>
      <c r="W261" s="105" t="n"/>
      <c r="X261" s="105" t="n"/>
      <c r="Y261" s="105" t="n"/>
      <c r="Z261" s="105" t="n"/>
      <c r="AA261" s="105" t="n"/>
      <c r="AB261" s="22" t="n"/>
      <c r="AC261" s="105" t="n"/>
      <c r="AD261" s="22" t="n"/>
      <c r="AE261" s="105" t="n"/>
      <c r="AF261" s="22" t="n"/>
      <c r="AG261" s="105" t="n"/>
      <c r="AH261" s="105" t="n"/>
      <c r="AI261" s="105" t="n"/>
      <c r="AJ261" s="105" t="n"/>
      <c r="AK261" s="21">
        <f>IF(Q261="ANULADA","N/A",IF(ABS(AJ261)&gt;10,"Pendiente",IF(MAX(AB261,AD261,AF261)=0,"Pendiente",MAX(0,MAX(AB261,AD261,AF261)-O261))))</f>
        <v/>
      </c>
    </row>
    <row r="262" hidden="1" ht="15" customHeight="1">
      <c r="A262" s="22" t="n"/>
      <c r="B262" s="22" t="n"/>
      <c r="C262" s="22" t="n"/>
      <c r="D262" s="13" t="n"/>
      <c r="E262" s="13" t="n"/>
      <c r="F262" s="13" t="n"/>
      <c r="G262" s="13" t="n"/>
      <c r="H262" s="23" t="n"/>
      <c r="I262" s="104" t="n"/>
      <c r="J262" s="105" t="n"/>
      <c r="K262" s="105" t="n"/>
      <c r="L262" s="13" t="n"/>
      <c r="M262" s="22" t="n"/>
      <c r="N262" s="24" t="n"/>
      <c r="O262" s="106" t="n"/>
      <c r="P262" s="22" t="n"/>
      <c r="Q262" s="22" t="n"/>
      <c r="R262" s="22" t="n"/>
      <c r="S262" s="105">
        <f>+J262</f>
        <v/>
      </c>
      <c r="T262" s="105" t="n"/>
      <c r="U262" s="105" t="n"/>
      <c r="V262" s="105" t="n"/>
      <c r="W262" s="105" t="n"/>
      <c r="X262" s="105" t="n"/>
      <c r="Y262" s="105" t="n"/>
      <c r="Z262" s="105" t="n"/>
      <c r="AA262" s="105" t="n"/>
      <c r="AB262" s="22" t="n"/>
      <c r="AC262" s="105" t="n"/>
      <c r="AD262" s="22" t="n"/>
      <c r="AE262" s="105" t="n"/>
      <c r="AF262" s="22" t="n"/>
      <c r="AG262" s="105" t="n"/>
      <c r="AH262" s="105" t="n"/>
      <c r="AI262" s="105" t="n"/>
      <c r="AJ262" s="105" t="n"/>
      <c r="AK262" s="21">
        <f>IF(Q262="ANULADA","N/A",IF(ABS(AJ262)&gt;10,"Pendiente",IF(MAX(AB262,AD262,AF262)=0,"Pendiente",MAX(0,MAX(AB262,AD262,AF262)-O262))))</f>
        <v/>
      </c>
    </row>
    <row r="263" hidden="1" ht="15" customHeight="1">
      <c r="A263" s="22" t="n"/>
      <c r="B263" s="22" t="n"/>
      <c r="C263" s="22" t="n"/>
      <c r="D263" s="13" t="n"/>
      <c r="E263" s="13" t="n"/>
      <c r="F263" s="13" t="n"/>
      <c r="G263" s="13" t="n"/>
      <c r="H263" s="23" t="n"/>
      <c r="I263" s="104" t="n"/>
      <c r="J263" s="105" t="n"/>
      <c r="K263" s="105" t="n"/>
      <c r="L263" s="13" t="n"/>
      <c r="M263" s="22" t="n"/>
      <c r="N263" s="24" t="n"/>
      <c r="O263" s="106" t="n"/>
      <c r="P263" s="22" t="n"/>
      <c r="Q263" s="22" t="n"/>
      <c r="R263" s="22" t="n"/>
      <c r="S263" s="105">
        <f>+J263</f>
        <v/>
      </c>
      <c r="T263" s="105" t="n"/>
      <c r="U263" s="105" t="n"/>
      <c r="V263" s="105" t="n"/>
      <c r="W263" s="105" t="n"/>
      <c r="X263" s="105" t="n"/>
      <c r="Y263" s="105" t="n"/>
      <c r="Z263" s="105" t="n"/>
      <c r="AA263" s="105" t="n"/>
      <c r="AB263" s="22" t="n"/>
      <c r="AC263" s="105" t="n"/>
      <c r="AD263" s="22" t="n"/>
      <c r="AE263" s="105" t="n"/>
      <c r="AF263" s="22" t="n"/>
      <c r="AG263" s="105" t="n"/>
      <c r="AH263" s="105" t="n"/>
      <c r="AI263" s="105" t="n"/>
      <c r="AJ263" s="105" t="n"/>
      <c r="AK263" s="21">
        <f>IF(Q263="ANULADA","N/A",IF(ABS(AJ263)&gt;10,"Pendiente",IF(MAX(AB263,AD263,AF263)=0,"Pendiente",MAX(0,MAX(AB263,AD263,AF263)-O263))))</f>
        <v/>
      </c>
    </row>
    <row r="264" hidden="1" ht="15" customHeight="1">
      <c r="A264" s="22" t="n"/>
      <c r="B264" s="22" t="n"/>
      <c r="C264" s="22" t="n"/>
      <c r="D264" s="13" t="n"/>
      <c r="E264" s="13" t="n"/>
      <c r="F264" s="13" t="n"/>
      <c r="G264" s="13" t="n"/>
      <c r="H264" s="23" t="n"/>
      <c r="I264" s="104" t="n"/>
      <c r="J264" s="105" t="n"/>
      <c r="K264" s="105" t="n"/>
      <c r="L264" s="13" t="n"/>
      <c r="M264" s="22" t="n"/>
      <c r="N264" s="24" t="n"/>
      <c r="O264" s="106" t="n"/>
      <c r="P264" s="22" t="n"/>
      <c r="Q264" s="22" t="n"/>
      <c r="R264" s="22" t="n"/>
      <c r="S264" s="105">
        <f>+J264</f>
        <v/>
      </c>
      <c r="T264" s="105" t="n"/>
      <c r="U264" s="105" t="n"/>
      <c r="V264" s="105" t="n"/>
      <c r="W264" s="105" t="n"/>
      <c r="X264" s="105" t="n"/>
      <c r="Y264" s="105" t="n"/>
      <c r="Z264" s="105" t="n"/>
      <c r="AA264" s="105" t="n"/>
      <c r="AB264" s="22" t="n"/>
      <c r="AC264" s="105" t="n"/>
      <c r="AD264" s="22" t="n"/>
      <c r="AE264" s="105" t="n"/>
      <c r="AF264" s="22" t="n"/>
      <c r="AG264" s="105" t="n"/>
      <c r="AH264" s="105" t="n"/>
      <c r="AI264" s="105" t="n"/>
      <c r="AJ264" s="105" t="n"/>
      <c r="AK264" s="21">
        <f>IF(Q264="ANULADA","N/A",IF(ABS(AJ264)&gt;10,"Pendiente",IF(MAX(AB264,AD264,AF264)=0,"Pendiente",MAX(0,MAX(AB264,AD264,AF264)-O264))))</f>
        <v/>
      </c>
    </row>
    <row r="265" hidden="1" ht="15" customHeight="1">
      <c r="A265" s="22" t="n"/>
      <c r="B265" s="22" t="n"/>
      <c r="C265" s="22" t="n"/>
      <c r="D265" s="13" t="n"/>
      <c r="E265" s="13" t="n"/>
      <c r="F265" s="13" t="n"/>
      <c r="G265" s="13" t="n"/>
      <c r="H265" s="23" t="n"/>
      <c r="I265" s="104" t="n"/>
      <c r="J265" s="105" t="n"/>
      <c r="K265" s="105" t="n"/>
      <c r="L265" s="13" t="n"/>
      <c r="M265" s="22" t="n"/>
      <c r="N265" s="24" t="n"/>
      <c r="O265" s="106" t="n"/>
      <c r="P265" s="22" t="n"/>
      <c r="Q265" s="39" t="n"/>
      <c r="R265" s="22" t="n"/>
      <c r="S265" s="105">
        <f>+J265</f>
        <v/>
      </c>
      <c r="T265" s="105" t="n"/>
      <c r="U265" s="105" t="n"/>
      <c r="V265" s="105" t="n"/>
      <c r="W265" s="105" t="n"/>
      <c r="X265" s="105" t="n"/>
      <c r="Y265" s="105" t="n"/>
      <c r="Z265" s="105" t="n"/>
      <c r="AA265" s="105" t="n"/>
      <c r="AB265" s="22" t="n"/>
      <c r="AC265" s="105" t="n"/>
      <c r="AD265" s="22" t="n"/>
      <c r="AE265" s="105" t="n"/>
      <c r="AF265" s="22" t="n"/>
      <c r="AG265" s="105" t="n"/>
      <c r="AH265" s="105" t="n"/>
      <c r="AI265" s="105" t="n"/>
      <c r="AJ265" s="105" t="n"/>
      <c r="AK265" s="21">
        <f>IF(Q265="ANULADA","N/A",IF(ABS(AJ265)&gt;10,"Pendiente",IF(MAX(AB265,AD265,AF265)=0,"Pendiente",MAX(0,MAX(AB265,AD265,AF265)-O265))))</f>
        <v/>
      </c>
    </row>
    <row r="266" hidden="1" ht="15" customHeight="1">
      <c r="A266" s="22" t="n"/>
      <c r="B266" s="22" t="n"/>
      <c r="C266" s="22" t="n"/>
      <c r="D266" s="13" t="n"/>
      <c r="E266" s="13" t="n"/>
      <c r="F266" s="13" t="n"/>
      <c r="G266" s="13" t="n"/>
      <c r="H266" s="23" t="n"/>
      <c r="I266" s="104" t="n"/>
      <c r="J266" s="105" t="n"/>
      <c r="K266" s="105" t="n"/>
      <c r="L266" s="13" t="n"/>
      <c r="M266" s="22" t="n"/>
      <c r="N266" s="24" t="n"/>
      <c r="O266" s="106" t="n"/>
      <c r="P266" s="22" t="n"/>
      <c r="Q266" s="22" t="n"/>
      <c r="R266" s="22" t="n"/>
      <c r="S266" s="105">
        <f>+J266</f>
        <v/>
      </c>
      <c r="T266" s="105" t="n"/>
      <c r="U266" s="105" t="n"/>
      <c r="V266" s="105" t="n"/>
      <c r="W266" s="105" t="n"/>
      <c r="X266" s="105" t="n"/>
      <c r="Y266" s="105" t="n"/>
      <c r="Z266" s="105" t="n"/>
      <c r="AA266" s="105" t="n"/>
      <c r="AB266" s="22" t="n"/>
      <c r="AC266" s="105" t="n"/>
      <c r="AD266" s="22" t="n"/>
      <c r="AE266" s="105" t="n"/>
      <c r="AF266" s="22" t="n"/>
      <c r="AG266" s="105" t="n"/>
      <c r="AH266" s="105" t="n"/>
      <c r="AI266" s="105" t="n"/>
      <c r="AJ266" s="105" t="n"/>
      <c r="AK266" s="21">
        <f>IF(Q266="ANULADA","N/A",IF(ABS(AJ266)&gt;10,"Pendiente",IF(MAX(AB266,AD266,AF266)=0,"Pendiente",MAX(0,MAX(AB266,AD266,AF266)-O266))))</f>
        <v/>
      </c>
    </row>
    <row r="267" hidden="1" ht="15" customHeight="1">
      <c r="A267" s="22" t="n"/>
      <c r="B267" s="22" t="n"/>
      <c r="C267" s="22" t="n"/>
      <c r="D267" s="13" t="n"/>
      <c r="E267" s="13" t="n"/>
      <c r="F267" s="13" t="n"/>
      <c r="G267" s="13" t="n"/>
      <c r="H267" s="23" t="n"/>
      <c r="I267" s="104" t="n"/>
      <c r="J267" s="105" t="n"/>
      <c r="K267" s="105" t="n"/>
      <c r="L267" s="13" t="n"/>
      <c r="M267" s="22" t="n"/>
      <c r="N267" s="24" t="n"/>
      <c r="O267" s="106" t="n"/>
      <c r="P267" s="22" t="n"/>
      <c r="Q267" s="39" t="n"/>
      <c r="R267" s="22" t="n"/>
      <c r="S267" s="105">
        <f>+J267</f>
        <v/>
      </c>
      <c r="T267" s="105" t="n"/>
      <c r="U267" s="105" t="n"/>
      <c r="V267" s="105" t="n"/>
      <c r="W267" s="105" t="n"/>
      <c r="X267" s="105" t="n"/>
      <c r="Y267" s="105" t="n"/>
      <c r="Z267" s="105" t="n"/>
      <c r="AA267" s="105" t="n"/>
      <c r="AB267" s="22" t="n"/>
      <c r="AC267" s="105" t="n"/>
      <c r="AD267" s="22" t="n"/>
      <c r="AE267" s="105" t="n"/>
      <c r="AF267" s="22" t="n"/>
      <c r="AG267" s="105" t="n"/>
      <c r="AH267" s="105" t="n"/>
      <c r="AI267" s="105" t="n"/>
      <c r="AJ267" s="105" t="n"/>
      <c r="AK267" s="21">
        <f>IF(Q267="ANULADA","N/A",IF(ABS(AJ267)&gt;10,"Pendiente",IF(MAX(AB267,AD267,AF267)=0,"Pendiente",MAX(0,MAX(AB267,AD267,AF267)-O267))))</f>
        <v/>
      </c>
    </row>
    <row r="268" hidden="1" ht="15" customHeight="1">
      <c r="A268" s="22" t="n"/>
      <c r="B268" s="22" t="n"/>
      <c r="C268" s="22" t="n"/>
      <c r="D268" s="13" t="n"/>
      <c r="E268" s="13" t="n"/>
      <c r="F268" s="13" t="n"/>
      <c r="G268" s="13" t="n"/>
      <c r="H268" s="23" t="n"/>
      <c r="I268" s="104" t="n"/>
      <c r="J268" s="105" t="n"/>
      <c r="K268" s="105" t="n"/>
      <c r="L268" s="13" t="n"/>
      <c r="M268" s="22" t="n"/>
      <c r="N268" s="24" t="n"/>
      <c r="O268" s="106" t="n"/>
      <c r="P268" s="22" t="n"/>
      <c r="Q268" s="39" t="n"/>
      <c r="R268" s="22" t="n"/>
      <c r="S268" s="105">
        <f>+J268</f>
        <v/>
      </c>
      <c r="T268" s="105" t="n"/>
      <c r="U268" s="105" t="n"/>
      <c r="V268" s="105" t="n"/>
      <c r="W268" s="105" t="n"/>
      <c r="X268" s="105" t="n"/>
      <c r="Y268" s="105" t="n"/>
      <c r="Z268" s="105" t="n"/>
      <c r="AA268" s="105" t="n"/>
      <c r="AB268" s="22" t="n"/>
      <c r="AC268" s="105" t="n"/>
      <c r="AD268" s="22" t="n"/>
      <c r="AE268" s="105" t="n"/>
      <c r="AF268" s="22" t="n"/>
      <c r="AG268" s="105" t="n"/>
      <c r="AH268" s="105" t="n"/>
      <c r="AI268" s="105" t="n"/>
      <c r="AJ268" s="105" t="n"/>
      <c r="AK268" s="21">
        <f>IF(Q268="ANULADA","N/A",IF(ABS(AJ268)&gt;10,"Pendiente",IF(MAX(AB268,AD268,AF268)=0,"Pendiente",MAX(0,MAX(AB268,AD268,AF268)-O268))))</f>
        <v/>
      </c>
    </row>
    <row r="269" hidden="1" ht="15" customHeight="1">
      <c r="A269" s="22" t="n"/>
      <c r="B269" s="22" t="n"/>
      <c r="C269" s="22" t="n"/>
      <c r="D269" s="13" t="n"/>
      <c r="E269" s="13" t="n"/>
      <c r="F269" s="13" t="n"/>
      <c r="G269" s="13" t="n"/>
      <c r="H269" s="23" t="n"/>
      <c r="I269" s="104" t="n"/>
      <c r="J269" s="105" t="n"/>
      <c r="K269" s="105" t="n"/>
      <c r="L269" s="13" t="n"/>
      <c r="M269" s="22" t="n"/>
      <c r="N269" s="24" t="n"/>
      <c r="O269" s="106" t="n"/>
      <c r="P269" s="22" t="n"/>
      <c r="Q269" s="22" t="n"/>
      <c r="R269" s="22" t="n"/>
      <c r="S269" s="105">
        <f>+J269</f>
        <v/>
      </c>
      <c r="T269" s="105" t="n"/>
      <c r="U269" s="105" t="n"/>
      <c r="V269" s="105" t="n"/>
      <c r="W269" s="105" t="n"/>
      <c r="X269" s="105" t="n"/>
      <c r="Y269" s="105" t="n"/>
      <c r="Z269" s="105" t="n"/>
      <c r="AA269" s="105" t="n"/>
      <c r="AB269" s="22" t="n"/>
      <c r="AC269" s="105" t="n"/>
      <c r="AD269" s="22" t="n"/>
      <c r="AE269" s="105" t="n"/>
      <c r="AF269" s="22" t="n"/>
      <c r="AG269" s="105" t="n"/>
      <c r="AH269" s="105" t="n"/>
      <c r="AI269" s="105" t="n"/>
      <c r="AJ269" s="105" t="n"/>
      <c r="AK269" s="21">
        <f>IF(Q269="ANULADA","N/A",IF(ABS(AJ269)&gt;10,"Pendiente",IF(MAX(AB269,AD269,AF269)=0,"Pendiente",MAX(0,MAX(AB269,AD269,AF269)-O269))))</f>
        <v/>
      </c>
    </row>
    <row r="270" hidden="1" ht="15" customHeight="1">
      <c r="A270" s="22" t="n"/>
      <c r="B270" s="22" t="n"/>
      <c r="C270" s="22" t="n"/>
      <c r="D270" s="13" t="n"/>
      <c r="E270" s="13" t="n"/>
      <c r="F270" s="13" t="n"/>
      <c r="G270" s="13" t="n"/>
      <c r="H270" s="23" t="n"/>
      <c r="I270" s="104" t="n"/>
      <c r="J270" s="105" t="n"/>
      <c r="K270" s="105" t="n"/>
      <c r="L270" s="13" t="n"/>
      <c r="M270" s="22" t="n"/>
      <c r="N270" s="24" t="n"/>
      <c r="O270" s="106" t="n"/>
      <c r="P270" s="22" t="n"/>
      <c r="Q270" s="22" t="n"/>
      <c r="R270" s="22" t="n"/>
      <c r="S270" s="105">
        <f>+J270</f>
        <v/>
      </c>
      <c r="T270" s="105" t="n"/>
      <c r="U270" s="105" t="n"/>
      <c r="V270" s="105" t="n"/>
      <c r="W270" s="105" t="n"/>
      <c r="X270" s="105" t="n"/>
      <c r="Y270" s="105" t="n"/>
      <c r="Z270" s="105" t="n"/>
      <c r="AA270" s="105" t="n"/>
      <c r="AB270" s="22" t="n"/>
      <c r="AC270" s="105" t="n"/>
      <c r="AD270" s="22" t="n"/>
      <c r="AE270" s="105" t="n"/>
      <c r="AF270" s="22" t="n"/>
      <c r="AG270" s="105" t="n"/>
      <c r="AH270" s="105" t="n"/>
      <c r="AI270" s="105" t="n"/>
      <c r="AJ270" s="105" t="n"/>
      <c r="AK270" s="21">
        <f>IF(Q270="ANULADA","N/A",IF(ABS(AJ270)&gt;10,"Pendiente",IF(MAX(AB270,AD270,AF270)=0,"Pendiente",MAX(0,MAX(AB270,AD270,AF270)-O270))))</f>
        <v/>
      </c>
    </row>
    <row r="271" hidden="1" ht="15" customHeight="1">
      <c r="A271" s="22" t="n"/>
      <c r="B271" s="22" t="n"/>
      <c r="C271" s="22" t="n"/>
      <c r="D271" s="13" t="n"/>
      <c r="E271" s="13" t="n"/>
      <c r="F271" s="13" t="n"/>
      <c r="G271" s="13" t="n"/>
      <c r="H271" s="23" t="n"/>
      <c r="I271" s="104" t="n"/>
      <c r="J271" s="105" t="n"/>
      <c r="K271" s="105" t="n"/>
      <c r="L271" s="13" t="n"/>
      <c r="M271" s="22" t="n"/>
      <c r="N271" s="24" t="n"/>
      <c r="O271" s="106" t="n"/>
      <c r="P271" s="22" t="n"/>
      <c r="Q271" s="22" t="n"/>
      <c r="R271" s="22" t="n"/>
      <c r="S271" s="105">
        <f>+J271</f>
        <v/>
      </c>
      <c r="T271" s="105" t="n"/>
      <c r="U271" s="105" t="n"/>
      <c r="V271" s="105" t="n"/>
      <c r="W271" s="105" t="n"/>
      <c r="X271" s="105" t="n"/>
      <c r="Y271" s="105" t="n"/>
      <c r="Z271" s="105" t="n"/>
      <c r="AA271" s="105" t="n"/>
      <c r="AB271" s="22" t="n"/>
      <c r="AC271" s="105" t="n"/>
      <c r="AD271" s="22" t="n"/>
      <c r="AE271" s="105" t="n"/>
      <c r="AF271" s="22" t="n"/>
      <c r="AG271" s="105" t="n"/>
      <c r="AH271" s="105" t="n"/>
      <c r="AI271" s="105" t="n"/>
      <c r="AJ271" s="105" t="n"/>
      <c r="AK271" s="21">
        <f>IF(Q271="ANULADA","N/A",IF(ABS(AJ271)&gt;10,"Pendiente",IF(MAX(AB271,AD271,AF271)=0,"Pendiente",MAX(0,MAX(AB271,AD271,AF271)-O271))))</f>
        <v/>
      </c>
    </row>
    <row r="272" hidden="1" ht="15" customHeight="1">
      <c r="A272" s="22" t="n"/>
      <c r="B272" s="22" t="n"/>
      <c r="C272" s="22" t="n"/>
      <c r="D272" s="13" t="n"/>
      <c r="E272" s="13" t="n"/>
      <c r="F272" s="13" t="n"/>
      <c r="G272" s="13" t="n"/>
      <c r="H272" s="23" t="n"/>
      <c r="I272" s="104" t="n"/>
      <c r="J272" s="105" t="n"/>
      <c r="K272" s="105" t="n"/>
      <c r="L272" s="13" t="n"/>
      <c r="M272" s="22" t="n"/>
      <c r="N272" s="24" t="n"/>
      <c r="O272" s="106" t="n"/>
      <c r="P272" s="22" t="n"/>
      <c r="Q272" s="39" t="n"/>
      <c r="R272" s="22" t="n"/>
      <c r="S272" s="105">
        <f>+J272</f>
        <v/>
      </c>
      <c r="T272" s="105" t="n"/>
      <c r="U272" s="105" t="n"/>
      <c r="V272" s="105" t="n"/>
      <c r="W272" s="105" t="n"/>
      <c r="X272" s="105" t="n"/>
      <c r="Y272" s="105" t="n"/>
      <c r="Z272" s="105" t="n"/>
      <c r="AA272" s="105" t="n"/>
      <c r="AB272" s="22" t="n"/>
      <c r="AC272" s="105" t="n"/>
      <c r="AD272" s="22" t="n"/>
      <c r="AE272" s="105" t="n"/>
      <c r="AF272" s="22" t="n"/>
      <c r="AG272" s="105" t="n"/>
      <c r="AH272" s="105" t="n"/>
      <c r="AI272" s="105" t="n"/>
      <c r="AJ272" s="105" t="n"/>
      <c r="AK272" s="21">
        <f>IF(Q272="ANULADA","N/A",IF(ABS(AJ272)&gt;10,"Pendiente",IF(MAX(AB272,AD272,AF272)=0,"Pendiente",MAX(0,MAX(AB272,AD272,AF272)-O272))))</f>
        <v/>
      </c>
    </row>
    <row r="273" hidden="1" ht="15" customHeight="1">
      <c r="A273" s="22" t="n"/>
      <c r="B273" s="22" t="n"/>
      <c r="C273" s="22" t="n"/>
      <c r="D273" s="13" t="n"/>
      <c r="E273" s="13" t="n"/>
      <c r="F273" s="13" t="n"/>
      <c r="G273" s="13" t="n"/>
      <c r="H273" s="23" t="n"/>
      <c r="I273" s="104" t="n"/>
      <c r="J273" s="105" t="n"/>
      <c r="K273" s="105" t="n"/>
      <c r="L273" s="13" t="n"/>
      <c r="M273" s="22" t="n"/>
      <c r="N273" s="24" t="n"/>
      <c r="O273" s="106" t="n"/>
      <c r="P273" s="22" t="n"/>
      <c r="Q273" s="22" t="n"/>
      <c r="R273" s="22" t="n"/>
      <c r="S273" s="105">
        <f>+J273</f>
        <v/>
      </c>
      <c r="T273" s="105" t="n"/>
      <c r="U273" s="105" t="n"/>
      <c r="V273" s="105" t="n"/>
      <c r="W273" s="105" t="n"/>
      <c r="X273" s="105" t="n"/>
      <c r="Y273" s="105" t="n"/>
      <c r="Z273" s="105" t="n"/>
      <c r="AA273" s="105" t="n"/>
      <c r="AB273" s="22" t="n"/>
      <c r="AC273" s="105" t="n"/>
      <c r="AD273" s="22" t="n"/>
      <c r="AE273" s="105" t="n"/>
      <c r="AF273" s="22" t="n"/>
      <c r="AG273" s="105" t="n"/>
      <c r="AH273" s="105" t="n"/>
      <c r="AI273" s="105" t="n"/>
      <c r="AJ273" s="105" t="n"/>
      <c r="AK273" s="21">
        <f>IF(Q273="ANULADA","N/A",IF(ABS(AJ273)&gt;10,"Pendiente",IF(MAX(AB273,AD273,AF273)=0,"Pendiente",MAX(0,MAX(AB273,AD273,AF273)-O273))))</f>
        <v/>
      </c>
    </row>
    <row r="274" hidden="1" ht="15" customHeight="1">
      <c r="A274" s="22" t="n"/>
      <c r="B274" s="22" t="n"/>
      <c r="C274" s="22" t="n"/>
      <c r="D274" s="13" t="n"/>
      <c r="E274" s="13" t="n"/>
      <c r="F274" s="13" t="n"/>
      <c r="G274" s="13" t="n"/>
      <c r="H274" s="23" t="n"/>
      <c r="I274" s="104" t="n"/>
      <c r="J274" s="105" t="n"/>
      <c r="K274" s="105" t="n"/>
      <c r="L274" s="13" t="n"/>
      <c r="M274" s="22" t="n"/>
      <c r="N274" s="24" t="n"/>
      <c r="O274" s="106" t="n"/>
      <c r="P274" s="22" t="n"/>
      <c r="Q274" s="39" t="n"/>
      <c r="R274" s="22" t="n"/>
      <c r="S274" s="105">
        <f>+J274</f>
        <v/>
      </c>
      <c r="T274" s="105" t="n"/>
      <c r="U274" s="105" t="n"/>
      <c r="V274" s="105" t="n"/>
      <c r="W274" s="105" t="n"/>
      <c r="X274" s="105" t="n"/>
      <c r="Y274" s="105" t="n"/>
      <c r="Z274" s="105" t="n"/>
      <c r="AA274" s="105" t="n"/>
      <c r="AB274" s="22" t="n"/>
      <c r="AC274" s="105" t="n"/>
      <c r="AD274" s="22" t="n"/>
      <c r="AE274" s="105" t="n"/>
      <c r="AF274" s="22" t="n"/>
      <c r="AG274" s="105" t="n"/>
      <c r="AH274" s="105" t="n"/>
      <c r="AI274" s="105" t="n"/>
      <c r="AJ274" s="105" t="n"/>
      <c r="AK274" s="21">
        <f>IF(Q274="ANULADA","N/A",IF(ABS(AJ274)&gt;10,"Pendiente",IF(MAX(AB274,AD274,AF274)=0,"Pendiente",MAX(0,MAX(AB274,AD274,AF274)-O274))))</f>
        <v/>
      </c>
    </row>
    <row r="275" hidden="1" ht="15" customHeight="1">
      <c r="A275" s="22" t="n"/>
      <c r="B275" s="22" t="n"/>
      <c r="C275" s="22" t="n"/>
      <c r="D275" s="13" t="n"/>
      <c r="E275" s="13" t="n"/>
      <c r="F275" s="13" t="n"/>
      <c r="G275" s="13" t="n"/>
      <c r="H275" s="23" t="n"/>
      <c r="I275" s="104" t="n"/>
      <c r="J275" s="105" t="n"/>
      <c r="K275" s="105" t="n"/>
      <c r="L275" s="13" t="n"/>
      <c r="M275" s="22" t="n"/>
      <c r="N275" s="24" t="n"/>
      <c r="O275" s="106" t="n"/>
      <c r="P275" s="22" t="n"/>
      <c r="Q275" s="39" t="n"/>
      <c r="R275" s="22" t="n"/>
      <c r="S275" s="105">
        <f>+J275</f>
        <v/>
      </c>
      <c r="T275" s="105" t="n"/>
      <c r="U275" s="105" t="n"/>
      <c r="V275" s="105" t="n"/>
      <c r="W275" s="105" t="n"/>
      <c r="X275" s="105" t="n"/>
      <c r="Y275" s="105" t="n"/>
      <c r="Z275" s="105" t="n"/>
      <c r="AA275" s="105" t="n"/>
      <c r="AB275" s="22" t="n"/>
      <c r="AC275" s="105" t="n"/>
      <c r="AD275" s="22" t="n"/>
      <c r="AE275" s="105" t="n"/>
      <c r="AF275" s="22" t="n"/>
      <c r="AG275" s="105" t="n"/>
      <c r="AH275" s="105" t="n"/>
      <c r="AI275" s="105" t="n"/>
      <c r="AJ275" s="105" t="n"/>
      <c r="AK275" s="21">
        <f>IF(Q275="ANULADA","N/A",IF(ABS(AJ275)&gt;10,"Pendiente",IF(MAX(AB275,AD275,AF275)=0,"Pendiente",MAX(0,MAX(AB275,AD275,AF275)-O275))))</f>
        <v/>
      </c>
    </row>
    <row r="276" hidden="1" ht="15" customHeight="1">
      <c r="A276" s="22" t="n"/>
      <c r="B276" s="22" t="n"/>
      <c r="C276" s="22" t="n"/>
      <c r="D276" s="13" t="n"/>
      <c r="E276" s="13" t="n"/>
      <c r="F276" s="13" t="n"/>
      <c r="G276" s="13" t="n"/>
      <c r="H276" s="23" t="n"/>
      <c r="I276" s="104" t="n"/>
      <c r="J276" s="105" t="n"/>
      <c r="K276" s="105" t="n"/>
      <c r="L276" s="13" t="n"/>
      <c r="M276" s="22" t="n"/>
      <c r="N276" s="24" t="n"/>
      <c r="O276" s="106" t="n"/>
      <c r="P276" s="22" t="n"/>
      <c r="Q276" s="22" t="n"/>
      <c r="R276" s="22" t="n"/>
      <c r="S276" s="105">
        <f>+J276</f>
        <v/>
      </c>
      <c r="T276" s="105" t="n"/>
      <c r="U276" s="105" t="n"/>
      <c r="V276" s="105" t="n"/>
      <c r="W276" s="105" t="n"/>
      <c r="X276" s="105" t="n"/>
      <c r="Y276" s="105" t="n"/>
      <c r="Z276" s="105" t="n"/>
      <c r="AA276" s="105" t="n"/>
      <c r="AB276" s="22" t="n"/>
      <c r="AC276" s="105" t="n"/>
      <c r="AD276" s="22" t="n"/>
      <c r="AE276" s="105" t="n"/>
      <c r="AF276" s="22" t="n"/>
      <c r="AG276" s="105" t="n"/>
      <c r="AH276" s="105" t="n"/>
      <c r="AI276" s="105" t="n"/>
      <c r="AJ276" s="105" t="n"/>
      <c r="AK276" s="21">
        <f>IF(Q276="ANULADA","N/A",IF(ABS(AJ276)&gt;10,"Pendiente",IF(MAX(AB276,AD276,AF276)=0,"Pendiente",MAX(0,MAX(AB276,AD276,AF276)-O276))))</f>
        <v/>
      </c>
    </row>
    <row r="277" hidden="1" ht="15" customHeight="1">
      <c r="A277" s="22" t="n"/>
      <c r="B277" s="22" t="n"/>
      <c r="C277" s="22" t="n"/>
      <c r="D277" s="13" t="n"/>
      <c r="E277" s="13" t="n"/>
      <c r="F277" s="13" t="n"/>
      <c r="G277" s="13" t="n"/>
      <c r="H277" s="23" t="n"/>
      <c r="I277" s="104" t="n"/>
      <c r="J277" s="105" t="n"/>
      <c r="K277" s="105" t="n"/>
      <c r="L277" s="13" t="n"/>
      <c r="M277" s="22" t="n"/>
      <c r="N277" s="24" t="n"/>
      <c r="O277" s="106" t="n"/>
      <c r="P277" s="22" t="n"/>
      <c r="Q277" s="22" t="n"/>
      <c r="R277" s="22" t="n"/>
      <c r="S277" s="105">
        <f>+J277</f>
        <v/>
      </c>
      <c r="T277" s="105" t="n"/>
      <c r="U277" s="105" t="n"/>
      <c r="V277" s="105" t="n"/>
      <c r="W277" s="105" t="n"/>
      <c r="X277" s="105" t="n"/>
      <c r="Y277" s="105" t="n"/>
      <c r="Z277" s="105" t="n"/>
      <c r="AA277" s="105" t="n"/>
      <c r="AB277" s="22" t="n"/>
      <c r="AC277" s="105" t="n"/>
      <c r="AD277" s="22" t="n"/>
      <c r="AE277" s="105" t="n"/>
      <c r="AF277" s="22" t="n"/>
      <c r="AG277" s="105" t="n"/>
      <c r="AH277" s="105" t="n"/>
      <c r="AI277" s="105" t="n"/>
      <c r="AJ277" s="105" t="n"/>
      <c r="AK277" s="21">
        <f>IF(Q277="ANULADA","N/A",IF(ABS(AJ277)&gt;10,"Pendiente",IF(MAX(AB277,AD277,AF277)=0,"Pendiente",MAX(0,MAX(AB277,AD277,AF277)-O277))))</f>
        <v/>
      </c>
    </row>
    <row r="278" hidden="1" ht="15" customHeight="1">
      <c r="A278" s="22" t="n"/>
      <c r="B278" s="22" t="n"/>
      <c r="C278" s="22" t="n"/>
      <c r="D278" s="13" t="n"/>
      <c r="E278" s="13" t="n"/>
      <c r="F278" s="13" t="n"/>
      <c r="G278" s="13" t="n"/>
      <c r="H278" s="23" t="n"/>
      <c r="I278" s="104" t="n"/>
      <c r="J278" s="105" t="n"/>
      <c r="K278" s="105" t="n"/>
      <c r="L278" s="13" t="n"/>
      <c r="M278" s="22" t="n"/>
      <c r="N278" s="24" t="n"/>
      <c r="O278" s="106" t="n"/>
      <c r="P278" s="22" t="n"/>
      <c r="Q278" s="22" t="n"/>
      <c r="R278" s="22" t="n"/>
      <c r="S278" s="105">
        <f>+J278</f>
        <v/>
      </c>
      <c r="T278" s="105" t="n"/>
      <c r="U278" s="105" t="n"/>
      <c r="V278" s="105" t="n"/>
      <c r="W278" s="105" t="n"/>
      <c r="X278" s="105" t="n"/>
      <c r="Y278" s="105" t="n"/>
      <c r="Z278" s="105" t="n"/>
      <c r="AA278" s="105" t="n"/>
      <c r="AB278" s="22" t="n"/>
      <c r="AC278" s="105" t="n"/>
      <c r="AD278" s="22" t="n"/>
      <c r="AE278" s="105" t="n"/>
      <c r="AF278" s="22" t="n"/>
      <c r="AG278" s="105" t="n"/>
      <c r="AH278" s="105" t="n"/>
      <c r="AI278" s="105" t="n"/>
      <c r="AJ278" s="105" t="n"/>
      <c r="AK278" s="21">
        <f>IF(Q278="ANULADA","N/A",IF(ABS(AJ278)&gt;10,"Pendiente",IF(MAX(AB278,AD278,AF278)=0,"Pendiente",MAX(0,MAX(AB278,AD278,AF278)-O278))))</f>
        <v/>
      </c>
    </row>
    <row r="279" hidden="1" ht="15" customHeight="1">
      <c r="A279" s="22" t="n"/>
      <c r="B279" s="22" t="n"/>
      <c r="C279" s="22" t="n"/>
      <c r="D279" s="13" t="n"/>
      <c r="E279" s="13" t="n"/>
      <c r="F279" s="13" t="n"/>
      <c r="G279" s="13" t="n"/>
      <c r="H279" s="23" t="n"/>
      <c r="I279" s="104" t="n"/>
      <c r="J279" s="105" t="n"/>
      <c r="K279" s="105" t="n"/>
      <c r="L279" s="13" t="n"/>
      <c r="M279" s="22" t="n"/>
      <c r="N279" s="24" t="n"/>
      <c r="O279" s="106" t="n"/>
      <c r="P279" s="22" t="n"/>
      <c r="Q279" s="39" t="n"/>
      <c r="R279" s="22" t="n"/>
      <c r="S279" s="105">
        <f>+J279</f>
        <v/>
      </c>
      <c r="T279" s="105" t="n"/>
      <c r="U279" s="105" t="n"/>
      <c r="V279" s="105" t="n"/>
      <c r="W279" s="105" t="n"/>
      <c r="X279" s="105" t="n"/>
      <c r="Y279" s="105" t="n"/>
      <c r="Z279" s="105" t="n"/>
      <c r="AA279" s="105" t="n"/>
      <c r="AB279" s="22" t="n"/>
      <c r="AC279" s="105" t="n"/>
      <c r="AD279" s="22" t="n"/>
      <c r="AE279" s="105" t="n"/>
      <c r="AF279" s="22" t="n"/>
      <c r="AG279" s="105" t="n"/>
      <c r="AH279" s="105" t="n"/>
      <c r="AI279" s="105" t="n"/>
      <c r="AJ279" s="105" t="n"/>
      <c r="AK279" s="21">
        <f>IF(Q279="ANULADA","N/A",IF(ABS(AJ279)&gt;10,"Pendiente",IF(MAX(AB279,AD279,AF279)=0,"Pendiente",MAX(0,MAX(AB279,AD279,AF279)-O279))))</f>
        <v/>
      </c>
    </row>
    <row r="280" hidden="1" ht="15" customHeight="1">
      <c r="A280" s="22" t="n"/>
      <c r="B280" s="22" t="n"/>
      <c r="C280" s="22" t="n"/>
      <c r="D280" s="13" t="n"/>
      <c r="E280" s="13" t="n"/>
      <c r="F280" s="13" t="n"/>
      <c r="G280" s="13" t="n"/>
      <c r="H280" s="23" t="n"/>
      <c r="I280" s="104" t="n"/>
      <c r="J280" s="105" t="n"/>
      <c r="K280" s="105" t="n"/>
      <c r="L280" s="13" t="n"/>
      <c r="M280" s="22" t="n"/>
      <c r="N280" s="24" t="n"/>
      <c r="O280" s="106" t="n"/>
      <c r="P280" s="22" t="n"/>
      <c r="Q280" s="22" t="n"/>
      <c r="R280" s="22" t="n"/>
      <c r="S280" s="105">
        <f>+J280</f>
        <v/>
      </c>
      <c r="T280" s="105" t="n"/>
      <c r="U280" s="105" t="n"/>
      <c r="V280" s="105" t="n"/>
      <c r="W280" s="105" t="n"/>
      <c r="X280" s="105" t="n"/>
      <c r="Y280" s="105" t="n"/>
      <c r="Z280" s="105" t="n"/>
      <c r="AA280" s="105" t="n"/>
      <c r="AB280" s="22" t="n"/>
      <c r="AC280" s="105" t="n"/>
      <c r="AD280" s="22" t="n"/>
      <c r="AE280" s="105" t="n"/>
      <c r="AF280" s="22" t="n"/>
      <c r="AG280" s="105" t="n"/>
      <c r="AH280" s="105" t="n"/>
      <c r="AI280" s="105" t="n"/>
      <c r="AJ280" s="105" t="n"/>
      <c r="AK280" s="21">
        <f>IF(Q280="ANULADA","N/A",IF(ABS(AJ280)&gt;10,"Pendiente",IF(MAX(AB280,AD280,AF280)=0,"Pendiente",MAX(0,MAX(AB280,AD280,AF280)-O280))))</f>
        <v/>
      </c>
    </row>
    <row r="281" hidden="1" ht="15" customHeight="1">
      <c r="A281" s="22" t="n"/>
      <c r="B281" s="22" t="n"/>
      <c r="C281" s="22" t="n"/>
      <c r="D281" s="13" t="n"/>
      <c r="E281" s="13" t="n"/>
      <c r="F281" s="13" t="n"/>
      <c r="G281" s="13" t="n"/>
      <c r="H281" s="23" t="n"/>
      <c r="I281" s="104" t="n"/>
      <c r="J281" s="105" t="n"/>
      <c r="K281" s="105" t="n"/>
      <c r="L281" s="13" t="n"/>
      <c r="M281" s="22" t="n"/>
      <c r="N281" s="24" t="n"/>
      <c r="O281" s="106" t="n"/>
      <c r="P281" s="22" t="n"/>
      <c r="Q281" s="39" t="n"/>
      <c r="R281" s="22" t="n"/>
      <c r="S281" s="105">
        <f>+J281</f>
        <v/>
      </c>
      <c r="T281" s="105" t="n"/>
      <c r="U281" s="105" t="n"/>
      <c r="V281" s="105" t="n"/>
      <c r="W281" s="105" t="n"/>
      <c r="X281" s="105" t="n"/>
      <c r="Y281" s="105" t="n"/>
      <c r="Z281" s="105" t="n"/>
      <c r="AA281" s="105" t="n"/>
      <c r="AB281" s="22" t="n"/>
      <c r="AC281" s="105" t="n"/>
      <c r="AD281" s="22" t="n"/>
      <c r="AE281" s="105" t="n"/>
      <c r="AF281" s="22" t="n"/>
      <c r="AG281" s="105" t="n"/>
      <c r="AH281" s="105" t="n"/>
      <c r="AI281" s="105" t="n"/>
      <c r="AJ281" s="105" t="n"/>
      <c r="AK281" s="21">
        <f>IF(Q281="ANULADA","N/A",IF(ABS(AJ281)&gt;10,"Pendiente",IF(MAX(AB281,AD281,AF281)=0,"Pendiente",MAX(0,MAX(AB281,AD281,AF281)-O281))))</f>
        <v/>
      </c>
    </row>
    <row r="282" hidden="1" ht="15" customHeight="1">
      <c r="A282" s="22" t="n"/>
      <c r="B282" s="22" t="n"/>
      <c r="C282" s="22" t="n"/>
      <c r="D282" s="13" t="n"/>
      <c r="E282" s="13" t="n"/>
      <c r="F282" s="13" t="n"/>
      <c r="G282" s="13" t="n"/>
      <c r="H282" s="23" t="n"/>
      <c r="I282" s="104" t="n"/>
      <c r="J282" s="105" t="n"/>
      <c r="K282" s="105" t="n"/>
      <c r="L282" s="13" t="n"/>
      <c r="M282" s="22" t="n"/>
      <c r="N282" s="24" t="n"/>
      <c r="O282" s="106" t="n"/>
      <c r="P282" s="22" t="n"/>
      <c r="Q282" s="39" t="n"/>
      <c r="R282" s="22" t="n"/>
      <c r="S282" s="105" t="n"/>
      <c r="T282" s="105" t="n"/>
      <c r="U282" s="105" t="n"/>
      <c r="V282" s="105" t="n"/>
      <c r="W282" s="105" t="n"/>
      <c r="X282" s="105" t="n"/>
      <c r="Y282" s="105" t="n"/>
      <c r="Z282" s="105" t="n"/>
      <c r="AA282" s="105" t="n"/>
      <c r="AB282" s="22" t="n"/>
      <c r="AC282" s="105" t="n"/>
      <c r="AD282" s="22" t="n"/>
      <c r="AE282" s="105" t="n"/>
      <c r="AF282" s="22" t="n"/>
      <c r="AG282" s="105" t="n"/>
      <c r="AH282" s="105" t="n"/>
      <c r="AI282" s="105" t="n"/>
      <c r="AJ282" s="105" t="n"/>
      <c r="AK282" s="21">
        <f>IF(Q282="ANULADA","N/A",IF(ABS(AJ282)&gt;10,"Pendiente",IF(MAX(AB282,AD282,AF282)=0,"Pendiente",MAX(0,MAX(AB282,AD282,AF282)-O282))))</f>
        <v/>
      </c>
    </row>
    <row r="283" hidden="1" ht="15" customHeight="1">
      <c r="A283" s="22" t="n"/>
      <c r="B283" s="22" t="n"/>
      <c r="C283" s="22" t="n"/>
      <c r="D283" s="13" t="n"/>
      <c r="E283" s="13" t="n"/>
      <c r="F283" s="13" t="n"/>
      <c r="G283" s="13" t="n"/>
      <c r="H283" s="23" t="n"/>
      <c r="I283" s="104" t="n"/>
      <c r="J283" s="105" t="n"/>
      <c r="K283" s="105" t="n"/>
      <c r="L283" s="13" t="n"/>
      <c r="M283" s="22" t="n"/>
      <c r="N283" s="24" t="n"/>
      <c r="O283" s="106" t="n"/>
      <c r="P283" s="22" t="n"/>
      <c r="Q283" s="22" t="n"/>
      <c r="R283" s="22" t="n"/>
      <c r="S283" s="105" t="n"/>
      <c r="T283" s="105" t="n"/>
      <c r="U283" s="105" t="n"/>
      <c r="V283" s="105" t="n"/>
      <c r="W283" s="105" t="n"/>
      <c r="X283" s="105" t="n"/>
      <c r="Y283" s="105" t="n"/>
      <c r="Z283" s="105" t="n"/>
      <c r="AA283" s="105" t="n"/>
      <c r="AB283" s="22" t="n"/>
      <c r="AC283" s="105" t="n"/>
      <c r="AD283" s="22" t="n"/>
      <c r="AE283" s="105" t="n"/>
      <c r="AF283" s="22" t="n"/>
      <c r="AG283" s="105" t="n"/>
      <c r="AH283" s="105" t="n"/>
      <c r="AI283" s="105" t="n"/>
      <c r="AJ283" s="105" t="n"/>
      <c r="AK283" s="21">
        <f>IF(Q283="ANULADA","N/A",IF(ABS(AJ283)&gt;10,"Pendiente",IF(MAX(AB283,AD283,AF283)=0,"Pendiente",MAX(0,MAX(AB283,AD283,AF283)-O283))))</f>
        <v/>
      </c>
    </row>
    <row r="284" hidden="1" ht="15" customHeight="1">
      <c r="A284" s="22" t="n"/>
      <c r="B284" s="22" t="n"/>
      <c r="C284" s="22" t="n"/>
      <c r="D284" s="13" t="n"/>
      <c r="E284" s="13" t="n"/>
      <c r="F284" s="13" t="n"/>
      <c r="G284" s="13" t="n"/>
      <c r="H284" s="23" t="n"/>
      <c r="I284" s="104" t="n"/>
      <c r="J284" s="105" t="n"/>
      <c r="K284" s="105" t="n"/>
      <c r="L284" s="13" t="n"/>
      <c r="M284" s="22" t="n"/>
      <c r="N284" s="24" t="n"/>
      <c r="O284" s="106" t="n"/>
      <c r="P284" s="22" t="n"/>
      <c r="Q284" s="22" t="n"/>
      <c r="R284" s="22" t="n"/>
      <c r="S284" s="105" t="n"/>
      <c r="T284" s="105" t="n"/>
      <c r="U284" s="105" t="n"/>
      <c r="V284" s="105" t="n"/>
      <c r="W284" s="105" t="n"/>
      <c r="X284" s="105" t="n"/>
      <c r="Y284" s="105" t="n"/>
      <c r="Z284" s="105" t="n"/>
      <c r="AA284" s="105" t="n"/>
      <c r="AB284" s="22" t="n"/>
      <c r="AC284" s="105" t="n"/>
      <c r="AD284" s="22" t="n"/>
      <c r="AE284" s="105" t="n"/>
      <c r="AF284" s="22" t="n"/>
      <c r="AG284" s="105" t="n"/>
      <c r="AH284" s="105" t="n"/>
      <c r="AI284" s="105" t="n"/>
      <c r="AJ284" s="105" t="n"/>
      <c r="AK284" s="21">
        <f>IF(Q284="ANULADA","N/A",IF(ABS(AJ284)&gt;10,"Pendiente",IF(MAX(AB284,AD284,AF284)=0,"Pendiente",MAX(0,MAX(AB284,AD284,AF284)-O284))))</f>
        <v/>
      </c>
    </row>
    <row r="285" hidden="1" ht="15" customHeight="1">
      <c r="A285" s="22" t="n"/>
      <c r="B285" s="22" t="n"/>
      <c r="C285" s="22" t="n"/>
      <c r="D285" s="13" t="n"/>
      <c r="E285" s="13" t="n"/>
      <c r="F285" s="13" t="n"/>
      <c r="G285" s="13" t="n"/>
      <c r="H285" s="23" t="n"/>
      <c r="I285" s="104" t="n"/>
      <c r="J285" s="105" t="n"/>
      <c r="K285" s="105" t="n"/>
      <c r="L285" s="13" t="n"/>
      <c r="M285" s="22" t="n"/>
      <c r="N285" s="24" t="n"/>
      <c r="O285" s="106" t="n"/>
      <c r="P285" s="22" t="n"/>
      <c r="Q285" s="22" t="n"/>
      <c r="R285" s="22" t="n"/>
      <c r="S285" s="105" t="n"/>
      <c r="T285" s="105" t="n"/>
      <c r="U285" s="105" t="n"/>
      <c r="V285" s="105" t="n"/>
      <c r="W285" s="105" t="n"/>
      <c r="X285" s="105" t="n"/>
      <c r="Y285" s="105" t="n"/>
      <c r="Z285" s="105" t="n"/>
      <c r="AA285" s="105" t="n"/>
      <c r="AB285" s="22" t="n"/>
      <c r="AC285" s="105" t="n"/>
      <c r="AD285" s="22" t="n"/>
      <c r="AE285" s="105" t="n"/>
      <c r="AF285" s="22" t="n"/>
      <c r="AG285" s="105" t="n"/>
      <c r="AH285" s="105" t="n"/>
      <c r="AI285" s="105" t="n"/>
      <c r="AJ285" s="105" t="n"/>
      <c r="AK285" s="21">
        <f>IF(Q285="ANULADA","N/A",IF(ABS(AJ285)&gt;10,"Pendiente",IF(MAX(AB285,AD285,AF285)=0,"Pendiente",MAX(0,MAX(AB285,AD285,AF285)-O285))))</f>
        <v/>
      </c>
    </row>
    <row r="286" hidden="1" ht="15" customHeight="1">
      <c r="A286" s="22" t="n"/>
      <c r="B286" s="22" t="n"/>
      <c r="C286" s="22" t="n"/>
      <c r="D286" s="13" t="n"/>
      <c r="E286" s="13" t="n"/>
      <c r="F286" s="13" t="n"/>
      <c r="G286" s="13" t="n"/>
      <c r="H286" s="23" t="n"/>
      <c r="I286" s="104" t="n"/>
      <c r="J286" s="105" t="n"/>
      <c r="K286" s="105" t="n"/>
      <c r="L286" s="13" t="n"/>
      <c r="M286" s="22" t="n"/>
      <c r="N286" s="24" t="n"/>
      <c r="O286" s="106" t="n"/>
      <c r="P286" s="22" t="n"/>
      <c r="Q286" s="39" t="n"/>
      <c r="R286" s="22" t="n"/>
      <c r="S286" s="105" t="n"/>
      <c r="T286" s="105" t="n"/>
      <c r="U286" s="105" t="n"/>
      <c r="V286" s="105" t="n"/>
      <c r="W286" s="105" t="n"/>
      <c r="X286" s="105" t="n"/>
      <c r="Y286" s="105" t="n"/>
      <c r="Z286" s="105" t="n"/>
      <c r="AA286" s="105" t="n"/>
      <c r="AB286" s="22" t="n"/>
      <c r="AC286" s="105" t="n"/>
      <c r="AD286" s="22" t="n"/>
      <c r="AE286" s="105" t="n"/>
      <c r="AF286" s="22" t="n"/>
      <c r="AG286" s="105" t="n"/>
      <c r="AH286" s="105" t="n"/>
      <c r="AI286" s="105" t="n"/>
      <c r="AJ286" s="105" t="n"/>
      <c r="AK286" s="21">
        <f>IF(Q286="ANULADA","N/A",IF(ABS(AJ286)&gt;10,"Pendiente",IF(MAX(AB286,AD286,AF286)=0,"Pendiente",MAX(0,MAX(AB286,AD286,AF286)-O286))))</f>
        <v/>
      </c>
    </row>
    <row r="287" hidden="1" ht="15" customHeight="1">
      <c r="A287" s="22" t="n"/>
      <c r="B287" s="22" t="n"/>
      <c r="C287" s="22" t="n"/>
      <c r="D287" s="13" t="n"/>
      <c r="E287" s="13" t="n"/>
      <c r="F287" s="13" t="n"/>
      <c r="G287" s="13" t="n"/>
      <c r="H287" s="23" t="n"/>
      <c r="I287" s="104" t="n"/>
      <c r="J287" s="105" t="n"/>
      <c r="K287" s="105" t="n"/>
      <c r="L287" s="13" t="n"/>
      <c r="M287" s="22" t="n"/>
      <c r="N287" s="24" t="n"/>
      <c r="O287" s="106" t="n"/>
      <c r="P287" s="22" t="n"/>
      <c r="Q287" s="22" t="n"/>
      <c r="R287" s="22" t="n"/>
      <c r="S287" s="105" t="n"/>
      <c r="T287" s="105" t="n"/>
      <c r="U287" s="105" t="n"/>
      <c r="V287" s="105" t="n"/>
      <c r="W287" s="105" t="n"/>
      <c r="X287" s="105" t="n"/>
      <c r="Y287" s="105" t="n"/>
      <c r="Z287" s="105" t="n"/>
      <c r="AA287" s="105" t="n"/>
      <c r="AB287" s="22" t="n"/>
      <c r="AC287" s="105" t="n"/>
      <c r="AD287" s="22" t="n"/>
      <c r="AE287" s="105" t="n"/>
      <c r="AF287" s="22" t="n"/>
      <c r="AG287" s="105" t="n"/>
      <c r="AH287" s="105" t="n"/>
      <c r="AI287" s="105" t="n"/>
      <c r="AJ287" s="105" t="n"/>
      <c r="AK287" s="21">
        <f>IF(Q287="ANULADA","N/A",IF(ABS(AJ287)&gt;10,"Pendiente",IF(MAX(AB287,AD287,AF287)=0,"Pendiente",MAX(0,MAX(AB287,AD287,AF287)-O287))))</f>
        <v/>
      </c>
    </row>
    <row r="288" hidden="1" ht="15" customHeight="1">
      <c r="A288" s="22" t="n"/>
      <c r="B288" s="22" t="n"/>
      <c r="C288" s="22" t="n"/>
      <c r="D288" s="13" t="n"/>
      <c r="E288" s="13" t="n"/>
      <c r="F288" s="13" t="n"/>
      <c r="G288" s="13" t="n"/>
      <c r="H288" s="23" t="n"/>
      <c r="I288" s="104" t="n"/>
      <c r="J288" s="105" t="n"/>
      <c r="K288" s="105" t="n"/>
      <c r="L288" s="13" t="n"/>
      <c r="M288" s="22" t="n"/>
      <c r="N288" s="24" t="n"/>
      <c r="O288" s="106" t="n"/>
      <c r="P288" s="22" t="n"/>
      <c r="Q288" s="39" t="n"/>
      <c r="R288" s="22" t="n"/>
      <c r="S288" s="105" t="n"/>
      <c r="T288" s="105" t="n"/>
      <c r="U288" s="105" t="n"/>
      <c r="V288" s="105" t="n"/>
      <c r="W288" s="105" t="n"/>
      <c r="X288" s="105" t="n"/>
      <c r="Y288" s="105" t="n"/>
      <c r="Z288" s="105" t="n"/>
      <c r="AA288" s="105" t="n"/>
      <c r="AB288" s="22" t="n"/>
      <c r="AC288" s="105" t="n"/>
      <c r="AD288" s="22" t="n"/>
      <c r="AE288" s="105" t="n"/>
      <c r="AF288" s="22" t="n"/>
      <c r="AG288" s="105" t="n"/>
      <c r="AH288" s="105" t="n"/>
      <c r="AI288" s="105" t="n"/>
      <c r="AJ288" s="105" t="n"/>
      <c r="AK288" s="21">
        <f>IF(Q288="ANULADA","N/A",IF(ABS(AJ288)&gt;10,"Pendiente",IF(MAX(AB288,AD288,AF288)=0,"Pendiente",MAX(0,MAX(AB288,AD288,AF288)-O288))))</f>
        <v/>
      </c>
    </row>
    <row r="289" hidden="1" ht="15" customHeight="1">
      <c r="A289" s="22" t="n"/>
      <c r="B289" s="22" t="n"/>
      <c r="C289" s="22" t="n"/>
      <c r="D289" s="13" t="n"/>
      <c r="E289" s="13" t="n"/>
      <c r="F289" s="13" t="n"/>
      <c r="G289" s="13" t="n"/>
      <c r="H289" s="23" t="n"/>
      <c r="I289" s="104" t="n"/>
      <c r="J289" s="105" t="n"/>
      <c r="K289" s="105" t="n"/>
      <c r="L289" s="13" t="n"/>
      <c r="M289" s="22" t="n"/>
      <c r="N289" s="24" t="n"/>
      <c r="O289" s="106" t="n"/>
      <c r="P289" s="22" t="n"/>
      <c r="Q289" s="39" t="n"/>
      <c r="R289" s="22" t="n"/>
      <c r="S289" s="105" t="n"/>
      <c r="T289" s="105" t="n"/>
      <c r="U289" s="105" t="n"/>
      <c r="V289" s="105" t="n"/>
      <c r="W289" s="105" t="n"/>
      <c r="X289" s="105" t="n"/>
      <c r="Y289" s="105" t="n"/>
      <c r="Z289" s="105" t="n"/>
      <c r="AA289" s="105" t="n"/>
      <c r="AB289" s="22" t="n"/>
      <c r="AC289" s="105" t="n"/>
      <c r="AD289" s="22" t="n"/>
      <c r="AE289" s="105" t="n"/>
      <c r="AF289" s="22" t="n"/>
      <c r="AG289" s="105" t="n"/>
      <c r="AH289" s="105" t="n"/>
      <c r="AI289" s="105" t="n"/>
      <c r="AJ289" s="105" t="n"/>
      <c r="AK289" s="21">
        <f>IF(Q289="ANULADA","N/A",IF(ABS(AJ289)&gt;10,"Pendiente",IF(MAX(AB289,AD289,AF289)=0,"Pendiente",MAX(0,MAX(AB289,AD289,AF289)-O289))))</f>
        <v/>
      </c>
    </row>
    <row r="290" hidden="1" ht="15" customHeight="1">
      <c r="A290" s="22" t="n"/>
      <c r="B290" s="22" t="n"/>
      <c r="C290" s="22" t="n"/>
      <c r="D290" s="13" t="n"/>
      <c r="E290" s="13" t="n"/>
      <c r="F290" s="13" t="n"/>
      <c r="G290" s="13" t="n"/>
      <c r="H290" s="23" t="n"/>
      <c r="I290" s="104" t="n"/>
      <c r="J290" s="105" t="n"/>
      <c r="K290" s="105" t="n"/>
      <c r="L290" s="13" t="n"/>
      <c r="M290" s="22" t="n"/>
      <c r="N290" s="24" t="n"/>
      <c r="O290" s="106" t="n"/>
      <c r="P290" s="22" t="n"/>
      <c r="Q290" s="22" t="n"/>
      <c r="R290" s="22" t="n"/>
      <c r="S290" s="105" t="n"/>
      <c r="T290" s="105" t="n"/>
      <c r="U290" s="105" t="n"/>
      <c r="V290" s="105" t="n"/>
      <c r="W290" s="105" t="n"/>
      <c r="X290" s="105" t="n"/>
      <c r="Y290" s="105" t="n"/>
      <c r="Z290" s="105" t="n"/>
      <c r="AA290" s="105" t="n"/>
      <c r="AB290" s="22" t="n"/>
      <c r="AC290" s="105" t="n"/>
      <c r="AD290" s="22" t="n"/>
      <c r="AE290" s="105" t="n"/>
      <c r="AF290" s="22" t="n"/>
      <c r="AG290" s="105" t="n"/>
      <c r="AH290" s="105" t="n"/>
      <c r="AI290" s="105" t="n"/>
      <c r="AJ290" s="105" t="n"/>
      <c r="AK290" s="21">
        <f>IF(Q290="ANULADA","N/A",IF(ABS(AJ290)&gt;10,"Pendiente",IF(MAX(AB290,AD290,AF290)=0,"Pendiente",MAX(0,MAX(AB290,AD290,AF290)-O290))))</f>
        <v/>
      </c>
    </row>
    <row r="291" hidden="1" ht="15" customHeight="1">
      <c r="A291" s="22" t="n"/>
      <c r="B291" s="22" t="n"/>
      <c r="C291" s="22" t="n"/>
      <c r="D291" s="13" t="n"/>
      <c r="E291" s="13" t="n"/>
      <c r="F291" s="13" t="n"/>
      <c r="G291" s="13" t="n"/>
      <c r="H291" s="23" t="n"/>
      <c r="I291" s="104" t="n"/>
      <c r="J291" s="105" t="n"/>
      <c r="K291" s="105" t="n"/>
      <c r="L291" s="13" t="n"/>
      <c r="M291" s="22" t="n"/>
      <c r="N291" s="24" t="n"/>
      <c r="O291" s="106" t="n"/>
      <c r="P291" s="22" t="n"/>
      <c r="Q291" s="22" t="n"/>
      <c r="R291" s="22" t="n"/>
      <c r="S291" s="105" t="n"/>
      <c r="T291" s="105" t="n"/>
      <c r="U291" s="105" t="n"/>
      <c r="V291" s="105" t="n"/>
      <c r="W291" s="105" t="n"/>
      <c r="X291" s="105" t="n"/>
      <c r="Y291" s="105" t="n"/>
      <c r="Z291" s="105" t="n"/>
      <c r="AA291" s="105" t="n"/>
      <c r="AB291" s="22" t="n"/>
      <c r="AC291" s="105" t="n"/>
      <c r="AD291" s="22" t="n"/>
      <c r="AE291" s="105" t="n"/>
      <c r="AF291" s="22" t="n"/>
      <c r="AG291" s="105" t="n"/>
      <c r="AH291" s="105" t="n"/>
      <c r="AI291" s="105" t="n"/>
      <c r="AJ291" s="105" t="n"/>
      <c r="AK291" s="21">
        <f>IF(Q291="ANULADA","N/A",IF(ABS(AJ291)&gt;10,"Pendiente",IF(MAX(AB291,AD291,AF291)=0,"Pendiente",MAX(0,MAX(AB291,AD291,AF291)-O291))))</f>
        <v/>
      </c>
    </row>
    <row r="292" hidden="1" ht="15" customHeight="1">
      <c r="A292" s="22" t="n"/>
      <c r="B292" s="22" t="n"/>
      <c r="C292" s="22" t="n"/>
      <c r="D292" s="13" t="n"/>
      <c r="E292" s="13" t="n"/>
      <c r="F292" s="13" t="n"/>
      <c r="G292" s="13" t="n"/>
      <c r="H292" s="23" t="n"/>
      <c r="I292" s="104" t="n"/>
      <c r="J292" s="105" t="n"/>
      <c r="K292" s="105" t="n"/>
      <c r="L292" s="13" t="n"/>
      <c r="M292" s="22" t="n"/>
      <c r="N292" s="24" t="n"/>
      <c r="O292" s="106" t="n"/>
      <c r="P292" s="22" t="n"/>
      <c r="Q292" s="22" t="n"/>
      <c r="R292" s="22" t="n"/>
      <c r="S292" s="105" t="n"/>
      <c r="T292" s="105" t="n"/>
      <c r="U292" s="105" t="n"/>
      <c r="V292" s="105" t="n"/>
      <c r="W292" s="105" t="n"/>
      <c r="X292" s="105" t="n"/>
      <c r="Y292" s="105" t="n"/>
      <c r="Z292" s="105" t="n"/>
      <c r="AA292" s="105" t="n"/>
      <c r="AB292" s="22" t="n"/>
      <c r="AC292" s="105" t="n"/>
      <c r="AD292" s="22" t="n"/>
      <c r="AE292" s="105" t="n"/>
      <c r="AF292" s="22" t="n"/>
      <c r="AG292" s="105" t="n"/>
      <c r="AH292" s="105" t="n"/>
      <c r="AI292" s="105" t="n"/>
      <c r="AJ292" s="105" t="n"/>
      <c r="AK292" s="21">
        <f>IF(Q292="ANULADA","N/A",IF(ABS(AJ292)&gt;10,"Pendiente",IF(MAX(AB292,AD292,AF292)=0,"Pendiente",MAX(0,MAX(AB292,AD292,AF292)-O292))))</f>
        <v/>
      </c>
    </row>
    <row r="293" hidden="1" ht="15" customHeight="1">
      <c r="A293" s="22" t="n"/>
      <c r="B293" s="22" t="n"/>
      <c r="C293" s="22" t="n"/>
      <c r="D293" s="13" t="n"/>
      <c r="E293" s="13" t="n"/>
      <c r="F293" s="13" t="n"/>
      <c r="G293" s="13" t="n"/>
      <c r="H293" s="23" t="n"/>
      <c r="I293" s="104" t="n"/>
      <c r="J293" s="105" t="n"/>
      <c r="K293" s="105" t="n"/>
      <c r="L293" s="13" t="n"/>
      <c r="M293" s="22" t="n"/>
      <c r="N293" s="24" t="n"/>
      <c r="O293" s="106" t="n"/>
      <c r="P293" s="22" t="n"/>
      <c r="Q293" s="39" t="n"/>
      <c r="R293" s="22" t="n"/>
      <c r="S293" s="105" t="n"/>
      <c r="T293" s="105" t="n"/>
      <c r="U293" s="105" t="n"/>
      <c r="V293" s="105" t="n"/>
      <c r="W293" s="105" t="n"/>
      <c r="X293" s="105" t="n"/>
      <c r="Y293" s="105" t="n"/>
      <c r="Z293" s="105" t="n"/>
      <c r="AA293" s="105" t="n"/>
      <c r="AB293" s="22" t="n"/>
      <c r="AC293" s="105" t="n"/>
      <c r="AD293" s="22" t="n"/>
      <c r="AE293" s="105" t="n"/>
      <c r="AF293" s="22" t="n"/>
      <c r="AG293" s="105" t="n"/>
      <c r="AH293" s="105" t="n"/>
      <c r="AI293" s="105" t="n"/>
      <c r="AJ293" s="105" t="n"/>
      <c r="AK293" s="21">
        <f>IF(Q293="ANULADA","N/A",IF(ABS(AJ293)&gt;10,"Pendiente",IF(MAX(AB293,AD293,AF293)=0,"Pendiente",MAX(0,MAX(AB293,AD293,AF293)-O293))))</f>
        <v/>
      </c>
    </row>
    <row r="294" hidden="1" ht="15" customHeight="1">
      <c r="A294" s="22" t="n"/>
      <c r="B294" s="22" t="n"/>
      <c r="C294" s="22" t="n"/>
      <c r="D294" s="13" t="n"/>
      <c r="E294" s="13" t="n"/>
      <c r="F294" s="13" t="n"/>
      <c r="G294" s="13" t="n"/>
      <c r="H294" s="23" t="n"/>
      <c r="I294" s="104" t="n"/>
      <c r="J294" s="105" t="n"/>
      <c r="K294" s="105" t="n"/>
      <c r="L294" s="13" t="n"/>
      <c r="M294" s="22" t="n"/>
      <c r="N294" s="24" t="n"/>
      <c r="O294" s="106" t="n"/>
      <c r="P294" s="22" t="n"/>
      <c r="Q294" s="22" t="n"/>
      <c r="R294" s="22" t="n"/>
      <c r="S294" s="105" t="n"/>
      <c r="T294" s="105" t="n"/>
      <c r="U294" s="105" t="n"/>
      <c r="V294" s="105" t="n"/>
      <c r="W294" s="105" t="n"/>
      <c r="X294" s="105" t="n"/>
      <c r="Y294" s="105" t="n"/>
      <c r="Z294" s="105" t="n"/>
      <c r="AA294" s="105" t="n"/>
      <c r="AB294" s="22" t="n"/>
      <c r="AC294" s="105" t="n"/>
      <c r="AD294" s="22" t="n"/>
      <c r="AE294" s="105" t="n"/>
      <c r="AF294" s="22" t="n"/>
      <c r="AG294" s="105" t="n"/>
      <c r="AH294" s="105" t="n"/>
      <c r="AI294" s="105" t="n"/>
      <c r="AJ294" s="105" t="n"/>
      <c r="AK294" s="21">
        <f>IF(Q294="ANULADA","N/A",IF(ABS(AJ294)&gt;10,"Pendiente",IF(MAX(AB294,AD294,AF294)=0,"Pendiente",MAX(0,MAX(AB294,AD294,AF294)-O294))))</f>
        <v/>
      </c>
    </row>
    <row r="295" hidden="1" ht="15" customHeight="1">
      <c r="A295" s="22" t="n"/>
      <c r="B295" s="22" t="n"/>
      <c r="C295" s="22" t="n"/>
      <c r="D295" s="13" t="n"/>
      <c r="E295" s="13" t="n"/>
      <c r="F295" s="13" t="n"/>
      <c r="G295" s="13" t="n"/>
      <c r="H295" s="23" t="n"/>
      <c r="I295" s="104" t="n"/>
      <c r="J295" s="105" t="n"/>
      <c r="K295" s="105" t="n"/>
      <c r="L295" s="13" t="n"/>
      <c r="M295" s="22" t="n"/>
      <c r="N295" s="24" t="n"/>
      <c r="O295" s="106" t="n"/>
      <c r="P295" s="22" t="n"/>
      <c r="Q295" s="39" t="n"/>
      <c r="R295" s="22" t="n"/>
      <c r="S295" s="105" t="n"/>
      <c r="T295" s="105" t="n"/>
      <c r="U295" s="105" t="n"/>
      <c r="V295" s="105" t="n"/>
      <c r="W295" s="105" t="n"/>
      <c r="X295" s="105" t="n"/>
      <c r="Y295" s="105" t="n"/>
      <c r="Z295" s="105" t="n"/>
      <c r="AA295" s="105" t="n"/>
      <c r="AB295" s="22" t="n"/>
      <c r="AC295" s="105" t="n"/>
      <c r="AD295" s="22" t="n"/>
      <c r="AE295" s="105" t="n"/>
      <c r="AF295" s="22" t="n"/>
      <c r="AG295" s="105" t="n"/>
      <c r="AH295" s="105" t="n"/>
      <c r="AI295" s="105" t="n"/>
      <c r="AJ295" s="105" t="n"/>
      <c r="AK295" s="21">
        <f>IF(Q295="ANULADA","N/A",IF(ABS(AJ295)&gt;10,"Pendiente",IF(MAX(AB295,AD295,AF295)=0,"Pendiente",MAX(0,MAX(AB295,AD295,AF295)-O295))))</f>
        <v/>
      </c>
    </row>
    <row r="296" hidden="1" ht="15" customHeight="1">
      <c r="A296" s="22" t="n"/>
      <c r="B296" s="22" t="n"/>
      <c r="C296" s="22" t="n"/>
      <c r="D296" s="13" t="n"/>
      <c r="E296" s="13" t="n"/>
      <c r="F296" s="13" t="n"/>
      <c r="G296" s="13" t="n"/>
      <c r="H296" s="23" t="n"/>
      <c r="I296" s="104" t="n"/>
      <c r="J296" s="105" t="n"/>
      <c r="K296" s="105" t="n"/>
      <c r="L296" s="13" t="n"/>
      <c r="M296" s="22" t="n"/>
      <c r="N296" s="24" t="n"/>
      <c r="O296" s="106" t="n"/>
      <c r="P296" s="22" t="n"/>
      <c r="Q296" s="39" t="n"/>
      <c r="R296" s="22" t="n"/>
      <c r="S296" s="105" t="n"/>
      <c r="T296" s="105" t="n"/>
      <c r="U296" s="105" t="n"/>
      <c r="V296" s="105" t="n"/>
      <c r="W296" s="105" t="n"/>
      <c r="X296" s="105" t="n"/>
      <c r="Y296" s="105" t="n"/>
      <c r="Z296" s="105" t="n"/>
      <c r="AA296" s="105" t="n"/>
      <c r="AB296" s="22" t="n"/>
      <c r="AC296" s="105" t="n"/>
      <c r="AD296" s="22" t="n"/>
      <c r="AE296" s="105" t="n"/>
      <c r="AF296" s="22" t="n"/>
      <c r="AG296" s="105" t="n"/>
      <c r="AH296" s="105" t="n"/>
      <c r="AI296" s="105" t="n"/>
      <c r="AJ296" s="105" t="n"/>
      <c r="AK296" s="21">
        <f>IF(Q296="ANULADA","N/A",IF(ABS(AJ296)&gt;10,"Pendiente",IF(MAX(AB296,AD296,AF296)=0,"Pendiente",MAX(0,MAX(AB296,AD296,AF296)-O296))))</f>
        <v/>
      </c>
    </row>
    <row r="297" hidden="1" ht="15" customHeight="1">
      <c r="A297" s="22" t="n"/>
      <c r="B297" s="22" t="n"/>
      <c r="C297" s="22" t="n"/>
      <c r="D297" s="13" t="n"/>
      <c r="E297" s="13" t="n"/>
      <c r="F297" s="13" t="n"/>
      <c r="G297" s="13" t="n"/>
      <c r="H297" s="23" t="n"/>
      <c r="I297" s="104" t="n"/>
      <c r="J297" s="105" t="n"/>
      <c r="K297" s="105" t="n"/>
      <c r="L297" s="13" t="n"/>
      <c r="M297" s="22" t="n"/>
      <c r="N297" s="24" t="n"/>
      <c r="O297" s="106" t="n"/>
      <c r="P297" s="22" t="n"/>
      <c r="Q297" s="22" t="n"/>
      <c r="R297" s="22" t="n"/>
      <c r="S297" s="105" t="n"/>
      <c r="T297" s="105" t="n"/>
      <c r="U297" s="105" t="n"/>
      <c r="V297" s="105" t="n"/>
      <c r="W297" s="105" t="n"/>
      <c r="X297" s="105" t="n"/>
      <c r="Y297" s="105" t="n"/>
      <c r="Z297" s="105" t="n"/>
      <c r="AA297" s="105" t="n"/>
      <c r="AB297" s="22" t="n"/>
      <c r="AC297" s="105" t="n"/>
      <c r="AD297" s="22" t="n"/>
      <c r="AE297" s="105" t="n"/>
      <c r="AF297" s="22" t="n"/>
      <c r="AG297" s="105" t="n"/>
      <c r="AH297" s="105" t="n"/>
      <c r="AI297" s="105" t="n"/>
      <c r="AJ297" s="105" t="n"/>
      <c r="AK297" s="21">
        <f>IF(Q297="ANULADA","N/A",IF(ABS(AJ297)&gt;10,"Pendiente",IF(MAX(AB297,AD297,AF297)=0,"Pendiente",MAX(0,MAX(AB297,AD297,AF297)-O297))))</f>
        <v/>
      </c>
    </row>
    <row r="298" hidden="1" ht="15" customHeight="1">
      <c r="A298" s="22" t="n"/>
      <c r="B298" s="22" t="n"/>
      <c r="C298" s="22" t="n"/>
      <c r="D298" s="13" t="n"/>
      <c r="E298" s="13" t="n"/>
      <c r="F298" s="13" t="n"/>
      <c r="G298" s="13" t="n"/>
      <c r="H298" s="23" t="n"/>
      <c r="I298" s="104" t="n"/>
      <c r="J298" s="105" t="n"/>
      <c r="K298" s="105" t="n"/>
      <c r="L298" s="13" t="n"/>
      <c r="M298" s="22" t="n"/>
      <c r="N298" s="24" t="n"/>
      <c r="O298" s="106" t="n"/>
      <c r="P298" s="22" t="n"/>
      <c r="Q298" s="22" t="n"/>
      <c r="R298" s="22" t="n"/>
      <c r="S298" s="105" t="n"/>
      <c r="T298" s="105" t="n"/>
      <c r="U298" s="105" t="n"/>
      <c r="V298" s="105" t="n"/>
      <c r="W298" s="105" t="n"/>
      <c r="X298" s="105" t="n"/>
      <c r="Y298" s="105" t="n"/>
      <c r="Z298" s="105" t="n"/>
      <c r="AA298" s="105" t="n"/>
      <c r="AB298" s="22" t="n"/>
      <c r="AC298" s="105" t="n"/>
      <c r="AD298" s="22" t="n"/>
      <c r="AE298" s="105" t="n"/>
      <c r="AF298" s="22" t="n"/>
      <c r="AG298" s="105" t="n"/>
      <c r="AH298" s="105" t="n"/>
      <c r="AI298" s="105" t="n"/>
      <c r="AJ298" s="105" t="n"/>
      <c r="AK298" s="21">
        <f>IF(Q298="ANULADA","N/A",IF(ABS(AJ298)&gt;10,"Pendiente",IF(MAX(AB298,AD298,AF298)=0,"Pendiente",MAX(0,MAX(AB298,AD298,AF298)-O298))))</f>
        <v/>
      </c>
    </row>
    <row r="299" hidden="1" ht="15" customHeight="1">
      <c r="A299" s="22" t="n"/>
      <c r="B299" s="22" t="n"/>
      <c r="C299" s="22" t="n"/>
      <c r="D299" s="13" t="n"/>
      <c r="E299" s="13" t="n"/>
      <c r="F299" s="13" t="n"/>
      <c r="G299" s="13" t="n"/>
      <c r="H299" s="23" t="n"/>
      <c r="I299" s="104" t="n"/>
      <c r="J299" s="105" t="n"/>
      <c r="K299" s="105" t="n"/>
      <c r="L299" s="13" t="n"/>
      <c r="M299" s="22" t="n"/>
      <c r="N299" s="24" t="n"/>
      <c r="O299" s="106" t="n"/>
      <c r="P299" s="22" t="n"/>
      <c r="Q299" s="22" t="n"/>
      <c r="R299" s="22" t="n"/>
      <c r="S299" s="105" t="n"/>
      <c r="T299" s="105" t="n"/>
      <c r="U299" s="105" t="n"/>
      <c r="V299" s="105" t="n"/>
      <c r="W299" s="105" t="n"/>
      <c r="X299" s="105" t="n"/>
      <c r="Y299" s="105" t="n"/>
      <c r="Z299" s="105" t="n"/>
      <c r="AA299" s="105" t="n"/>
      <c r="AB299" s="22" t="n"/>
      <c r="AC299" s="105" t="n"/>
      <c r="AD299" s="22" t="n"/>
      <c r="AE299" s="105" t="n"/>
      <c r="AF299" s="22" t="n"/>
      <c r="AG299" s="105" t="n"/>
      <c r="AH299" s="105" t="n"/>
      <c r="AI299" s="105" t="n"/>
      <c r="AJ299" s="105" t="n"/>
      <c r="AK299" s="21">
        <f>IF(Q299="ANULADA","N/A",IF(ABS(AJ299)&gt;10,"Pendiente",IF(MAX(AB299,AD299,AF299)=0,"Pendiente",MAX(0,MAX(AB299,AD299,AF299)-O299))))</f>
        <v/>
      </c>
    </row>
    <row r="300" hidden="1" ht="15" customHeight="1">
      <c r="A300" s="22" t="n"/>
      <c r="B300" s="22" t="n"/>
      <c r="C300" s="22" t="n"/>
      <c r="D300" s="13" t="n"/>
      <c r="E300" s="13" t="n"/>
      <c r="F300" s="13" t="n"/>
      <c r="G300" s="13" t="n"/>
      <c r="H300" s="23" t="n"/>
      <c r="I300" s="104" t="n"/>
      <c r="J300" s="105" t="n"/>
      <c r="K300" s="105" t="n"/>
      <c r="L300" s="13" t="n"/>
      <c r="M300" s="22" t="n"/>
      <c r="N300" s="24" t="n"/>
      <c r="O300" s="106" t="n"/>
      <c r="P300" s="22" t="n"/>
      <c r="Q300" s="39" t="n"/>
      <c r="R300" s="22" t="n"/>
      <c r="S300" s="105" t="n"/>
      <c r="T300" s="105" t="n"/>
      <c r="U300" s="105" t="n"/>
      <c r="V300" s="105" t="n"/>
      <c r="W300" s="105" t="n"/>
      <c r="X300" s="105" t="n"/>
      <c r="Y300" s="105" t="n"/>
      <c r="Z300" s="105" t="n"/>
      <c r="AA300" s="105" t="n"/>
      <c r="AB300" s="22" t="n"/>
      <c r="AC300" s="105" t="n"/>
      <c r="AD300" s="22" t="n"/>
      <c r="AE300" s="105" t="n"/>
      <c r="AF300" s="22" t="n"/>
      <c r="AG300" s="105" t="n"/>
      <c r="AH300" s="105" t="n"/>
      <c r="AI300" s="105" t="n"/>
      <c r="AJ300" s="105" t="n"/>
      <c r="AK300" s="21">
        <f>IF(Q300="ANULADA","N/A",IF(ABS(AJ300)&gt;10,"Pendiente",IF(MAX(AB300,AD300,AF300)=0,"Pendiente",MAX(0,MAX(AB300,AD300,AF300)-O300))))</f>
        <v/>
      </c>
    </row>
    <row r="301" hidden="1" ht="15" customHeight="1">
      <c r="A301" s="22" t="n"/>
      <c r="B301" s="22" t="n"/>
      <c r="C301" s="22" t="n"/>
      <c r="D301" s="13" t="n"/>
      <c r="E301" s="13" t="n"/>
      <c r="F301" s="13" t="n"/>
      <c r="G301" s="13" t="n"/>
      <c r="H301" s="23" t="n"/>
      <c r="I301" s="104" t="n"/>
      <c r="J301" s="105" t="n"/>
      <c r="K301" s="105" t="n"/>
      <c r="L301" s="13" t="n"/>
      <c r="M301" s="22" t="n"/>
      <c r="N301" s="24" t="n"/>
      <c r="O301" s="106" t="n"/>
      <c r="P301" s="22" t="n"/>
      <c r="Q301" s="22" t="n"/>
      <c r="R301" s="22" t="n"/>
      <c r="S301" s="105" t="n"/>
      <c r="T301" s="105" t="n"/>
      <c r="U301" s="105" t="n"/>
      <c r="V301" s="105" t="n"/>
      <c r="W301" s="105" t="n"/>
      <c r="X301" s="105" t="n"/>
      <c r="Y301" s="105" t="n"/>
      <c r="Z301" s="105" t="n"/>
      <c r="AA301" s="105" t="n"/>
      <c r="AB301" s="22" t="n"/>
      <c r="AC301" s="105" t="n"/>
      <c r="AD301" s="22" t="n"/>
      <c r="AE301" s="105" t="n"/>
      <c r="AF301" s="22" t="n"/>
      <c r="AG301" s="105" t="n"/>
      <c r="AH301" s="105" t="n"/>
      <c r="AI301" s="105" t="n"/>
      <c r="AJ301" s="105" t="n"/>
      <c r="AK301" s="21">
        <f>IF(Q301="ANULADA","N/A",IF(ABS(AJ301)&gt;10,"Pendiente",IF(MAX(AB301,AD301,AF301)=0,"Pendiente",MAX(0,MAX(AB301,AD301,AF301)-O301))))</f>
        <v/>
      </c>
    </row>
    <row r="302" hidden="1" ht="15" customHeight="1">
      <c r="A302" s="22" t="n"/>
      <c r="B302" s="22" t="n"/>
      <c r="C302" s="22" t="n"/>
      <c r="D302" s="13" t="n"/>
      <c r="E302" s="13" t="n"/>
      <c r="F302" s="13" t="n"/>
      <c r="G302" s="13" t="n"/>
      <c r="H302" s="23" t="n"/>
      <c r="I302" s="104" t="n"/>
      <c r="J302" s="105" t="n"/>
      <c r="K302" s="105" t="n"/>
      <c r="L302" s="13" t="n"/>
      <c r="M302" s="22" t="n"/>
      <c r="N302" s="24" t="n"/>
      <c r="O302" s="106" t="n"/>
      <c r="P302" s="22" t="n"/>
      <c r="Q302" s="39" t="n"/>
      <c r="R302" s="22" t="n"/>
      <c r="S302" s="105" t="n"/>
      <c r="T302" s="105" t="n"/>
      <c r="U302" s="105" t="n"/>
      <c r="V302" s="105" t="n"/>
      <c r="W302" s="105" t="n"/>
      <c r="X302" s="105" t="n"/>
      <c r="Y302" s="105" t="n"/>
      <c r="Z302" s="105" t="n"/>
      <c r="AA302" s="105" t="n"/>
      <c r="AB302" s="22" t="n"/>
      <c r="AC302" s="105" t="n"/>
      <c r="AD302" s="22" t="n"/>
      <c r="AE302" s="105" t="n"/>
      <c r="AF302" s="22" t="n"/>
      <c r="AG302" s="105" t="n"/>
      <c r="AH302" s="105" t="n"/>
      <c r="AI302" s="105" t="n"/>
      <c r="AJ302" s="105" t="n"/>
      <c r="AK302" s="21">
        <f>IF(Q302="ANULADA","N/A",IF(ABS(AJ302)&gt;10,"Pendiente",IF(MAX(AB302,AD302,AF302)=0,"Pendiente",MAX(0,MAX(AB302,AD302,AF302)-O302))))</f>
        <v/>
      </c>
    </row>
    <row r="303" hidden="1" ht="15" customHeight="1">
      <c r="A303" s="22" t="n"/>
      <c r="B303" s="22" t="n"/>
      <c r="C303" s="22" t="n"/>
      <c r="D303" s="13" t="n"/>
      <c r="E303" s="13" t="n"/>
      <c r="F303" s="13" t="n"/>
      <c r="G303" s="13" t="n"/>
      <c r="H303" s="23" t="n"/>
      <c r="I303" s="104" t="n"/>
      <c r="J303" s="105" t="n"/>
      <c r="K303" s="105" t="n"/>
      <c r="L303" s="13" t="n"/>
      <c r="M303" s="22" t="n"/>
      <c r="N303" s="24" t="n"/>
      <c r="O303" s="106" t="n"/>
      <c r="P303" s="22" t="n"/>
      <c r="Q303" s="39" t="n"/>
      <c r="R303" s="22" t="n"/>
      <c r="S303" s="105" t="n"/>
      <c r="T303" s="105" t="n"/>
      <c r="U303" s="105" t="n"/>
      <c r="V303" s="105" t="n"/>
      <c r="W303" s="105" t="n"/>
      <c r="X303" s="105" t="n"/>
      <c r="Y303" s="105" t="n"/>
      <c r="Z303" s="105" t="n"/>
      <c r="AA303" s="105" t="n"/>
      <c r="AB303" s="22" t="n"/>
      <c r="AC303" s="105" t="n"/>
      <c r="AD303" s="22" t="n"/>
      <c r="AE303" s="105" t="n"/>
      <c r="AF303" s="22" t="n"/>
      <c r="AG303" s="105" t="n"/>
      <c r="AH303" s="105" t="n"/>
      <c r="AI303" s="105" t="n"/>
      <c r="AJ303" s="105" t="n"/>
      <c r="AK303" s="21">
        <f>IF(Q303="ANULADA","N/A",IF(ABS(AJ303)&gt;10,"Pendiente",IF(MAX(AB303,AD303,AF303)=0,"Pendiente",MAX(0,MAX(AB303,AD303,AF303)-O303))))</f>
        <v/>
      </c>
    </row>
    <row r="304" hidden="1" ht="15" customHeight="1">
      <c r="A304" s="22" t="n"/>
      <c r="B304" s="22" t="n"/>
      <c r="C304" s="22" t="n"/>
      <c r="D304" s="13" t="n"/>
      <c r="E304" s="13" t="n"/>
      <c r="F304" s="13" t="n"/>
      <c r="G304" s="13" t="n"/>
      <c r="H304" s="23" t="n"/>
      <c r="I304" s="104" t="n"/>
      <c r="J304" s="105" t="n"/>
      <c r="K304" s="105" t="n"/>
      <c r="L304" s="13" t="n"/>
      <c r="M304" s="22" t="n"/>
      <c r="N304" s="24" t="n"/>
      <c r="O304" s="106" t="n"/>
      <c r="P304" s="22" t="n"/>
      <c r="Q304" s="22" t="n"/>
      <c r="R304" s="22" t="n"/>
      <c r="S304" s="105" t="n"/>
      <c r="T304" s="105" t="n"/>
      <c r="U304" s="105" t="n"/>
      <c r="V304" s="105" t="n"/>
      <c r="W304" s="105" t="n"/>
      <c r="X304" s="105" t="n"/>
      <c r="Y304" s="105" t="n"/>
      <c r="Z304" s="105" t="n"/>
      <c r="AA304" s="105" t="n"/>
      <c r="AB304" s="22" t="n"/>
      <c r="AC304" s="105" t="n"/>
      <c r="AD304" s="22" t="n"/>
      <c r="AE304" s="105" t="n"/>
      <c r="AF304" s="22" t="n"/>
      <c r="AG304" s="105" t="n"/>
      <c r="AH304" s="105" t="n"/>
      <c r="AI304" s="105" t="n"/>
      <c r="AJ304" s="105" t="n"/>
      <c r="AK304" s="21">
        <f>IF(Q304="ANULADA","N/A",IF(ABS(AJ304)&gt;10,"Pendiente",IF(MAX(AB304,AD304,AF304)=0,"Pendiente",MAX(0,MAX(AB304,AD304,AF304)-O304))))</f>
        <v/>
      </c>
    </row>
    <row r="305" hidden="1" ht="15" customHeight="1">
      <c r="A305" s="22" t="n"/>
      <c r="B305" s="22" t="n"/>
      <c r="C305" s="22" t="n"/>
      <c r="D305" s="13" t="n"/>
      <c r="E305" s="13" t="n"/>
      <c r="F305" s="13" t="n"/>
      <c r="G305" s="13" t="n"/>
      <c r="H305" s="23" t="n"/>
      <c r="I305" s="104" t="n"/>
      <c r="J305" s="105" t="n"/>
      <c r="K305" s="105" t="n"/>
      <c r="L305" s="13" t="n"/>
      <c r="M305" s="22" t="n"/>
      <c r="N305" s="24" t="n"/>
      <c r="O305" s="106" t="n"/>
      <c r="P305" s="22" t="n"/>
      <c r="Q305" s="22" t="n"/>
      <c r="R305" s="22" t="n"/>
      <c r="S305" s="105" t="n"/>
      <c r="T305" s="105" t="n"/>
      <c r="U305" s="105" t="n"/>
      <c r="V305" s="105" t="n"/>
      <c r="W305" s="105" t="n"/>
      <c r="X305" s="105" t="n"/>
      <c r="Y305" s="105" t="n"/>
      <c r="Z305" s="105" t="n"/>
      <c r="AA305" s="105" t="n"/>
      <c r="AB305" s="22" t="n"/>
      <c r="AC305" s="105" t="n"/>
      <c r="AD305" s="22" t="n"/>
      <c r="AE305" s="105" t="n"/>
      <c r="AF305" s="22" t="n"/>
      <c r="AG305" s="105" t="n"/>
      <c r="AH305" s="105" t="n"/>
      <c r="AI305" s="105" t="n"/>
      <c r="AJ305" s="105" t="n"/>
      <c r="AK305" s="21">
        <f>IF(Q305="ANULADA","N/A",IF(ABS(AJ305)&gt;10,"Pendiente",IF(MAX(AB305,AD305,AF305)=0,"Pendiente",MAX(0,MAX(AB305,AD305,AF305)-O305))))</f>
        <v/>
      </c>
    </row>
    <row r="306" hidden="1" ht="15" customHeight="1">
      <c r="A306" s="22" t="n"/>
      <c r="B306" s="22" t="n"/>
      <c r="C306" s="22" t="n"/>
      <c r="D306" s="13" t="n"/>
      <c r="E306" s="13" t="n"/>
      <c r="F306" s="13" t="n"/>
      <c r="G306" s="13" t="n"/>
      <c r="H306" s="23" t="n"/>
      <c r="I306" s="104" t="n"/>
      <c r="J306" s="105" t="n"/>
      <c r="K306" s="105" t="n"/>
      <c r="L306" s="13" t="n"/>
      <c r="M306" s="22" t="n"/>
      <c r="N306" s="24" t="n"/>
      <c r="O306" s="106" t="n"/>
      <c r="P306" s="22" t="n"/>
      <c r="Q306" s="22" t="n"/>
      <c r="R306" s="22" t="n"/>
      <c r="S306" s="105" t="n"/>
      <c r="T306" s="105" t="n"/>
      <c r="U306" s="105" t="n"/>
      <c r="V306" s="105" t="n"/>
      <c r="W306" s="105" t="n"/>
      <c r="X306" s="105" t="n"/>
      <c r="Y306" s="105" t="n"/>
      <c r="Z306" s="105" t="n"/>
      <c r="AA306" s="105" t="n"/>
      <c r="AB306" s="22" t="n"/>
      <c r="AC306" s="105" t="n"/>
      <c r="AD306" s="22" t="n"/>
      <c r="AE306" s="105" t="n"/>
      <c r="AF306" s="22" t="n"/>
      <c r="AG306" s="105" t="n"/>
      <c r="AH306" s="105" t="n"/>
      <c r="AI306" s="105" t="n"/>
      <c r="AJ306" s="105" t="n"/>
      <c r="AK306" s="21">
        <f>IF(Q306="ANULADA","N/A",IF(ABS(AJ306)&gt;10,"Pendiente",IF(MAX(AB306,AD306,AF306)=0,"Pendiente",MAX(0,MAX(AB306,AD306,AF306)-O306))))</f>
        <v/>
      </c>
    </row>
    <row r="307" hidden="1" ht="15" customHeight="1">
      <c r="A307" s="22" t="n"/>
      <c r="B307" s="22" t="n"/>
      <c r="C307" s="22" t="n"/>
      <c r="D307" s="13" t="n"/>
      <c r="E307" s="13" t="n"/>
      <c r="F307" s="13" t="n"/>
      <c r="G307" s="13" t="n"/>
      <c r="H307" s="23" t="n"/>
      <c r="I307" s="104" t="n"/>
      <c r="J307" s="105" t="n"/>
      <c r="K307" s="105" t="n"/>
      <c r="L307" s="13" t="n"/>
      <c r="M307" s="22" t="n"/>
      <c r="N307" s="24" t="n"/>
      <c r="O307" s="106" t="n"/>
      <c r="P307" s="22" t="n"/>
      <c r="Q307" s="39" t="n"/>
      <c r="R307" s="22" t="n"/>
      <c r="S307" s="105" t="n"/>
      <c r="T307" s="105" t="n"/>
      <c r="U307" s="105" t="n"/>
      <c r="V307" s="105" t="n"/>
      <c r="W307" s="105" t="n"/>
      <c r="X307" s="105" t="n"/>
      <c r="Y307" s="105" t="n"/>
      <c r="Z307" s="105" t="n"/>
      <c r="AA307" s="105" t="n"/>
      <c r="AB307" s="22" t="n"/>
      <c r="AC307" s="105" t="n"/>
      <c r="AD307" s="22" t="n"/>
      <c r="AE307" s="105" t="n"/>
      <c r="AF307" s="22" t="n"/>
      <c r="AG307" s="105" t="n"/>
      <c r="AH307" s="105" t="n"/>
      <c r="AI307" s="105" t="n"/>
      <c r="AJ307" s="105" t="n"/>
      <c r="AK307" s="21">
        <f>IF(Q307="ANULADA","N/A",IF(ABS(AJ307)&gt;10,"Pendiente",IF(MAX(AB307,AD307,AF307)=0,"Pendiente",MAX(0,MAX(AB307,AD307,AF307)-O307))))</f>
        <v/>
      </c>
    </row>
    <row r="308" hidden="1" ht="15" customHeight="1">
      <c r="A308" s="22" t="n"/>
      <c r="B308" s="22" t="n"/>
      <c r="C308" s="22" t="n"/>
      <c r="D308" s="13" t="n"/>
      <c r="E308" s="13" t="n"/>
      <c r="F308" s="13" t="n"/>
      <c r="G308" s="13" t="n"/>
      <c r="H308" s="23" t="n"/>
      <c r="I308" s="104" t="n"/>
      <c r="J308" s="105" t="n"/>
      <c r="K308" s="105" t="n"/>
      <c r="L308" s="13" t="n"/>
      <c r="M308" s="22" t="n"/>
      <c r="N308" s="24" t="n"/>
      <c r="O308" s="106" t="n"/>
      <c r="P308" s="22" t="n"/>
      <c r="Q308" s="22" t="n"/>
      <c r="R308" s="22" t="n"/>
      <c r="S308" s="105" t="n"/>
      <c r="T308" s="105" t="n"/>
      <c r="U308" s="105" t="n"/>
      <c r="V308" s="105" t="n"/>
      <c r="W308" s="105" t="n"/>
      <c r="X308" s="105" t="n"/>
      <c r="Y308" s="105" t="n"/>
      <c r="Z308" s="105" t="n"/>
      <c r="AA308" s="105" t="n"/>
      <c r="AB308" s="22" t="n"/>
      <c r="AC308" s="105" t="n"/>
      <c r="AD308" s="22" t="n"/>
      <c r="AE308" s="105" t="n"/>
      <c r="AF308" s="22" t="n"/>
      <c r="AG308" s="105" t="n"/>
      <c r="AH308" s="105" t="n"/>
      <c r="AI308" s="105" t="n"/>
      <c r="AJ308" s="105" t="n"/>
      <c r="AK308" s="21">
        <f>IF(Q308="ANULADA","N/A",IF(ABS(AJ308)&gt;10,"Pendiente",IF(MAX(AB308,AD308,AF308)=0,"Pendiente",MAX(0,MAX(AB308,AD308,AF308)-O308))))</f>
        <v/>
      </c>
    </row>
    <row r="309" hidden="1" ht="15" customHeight="1">
      <c r="A309" s="22" t="n"/>
      <c r="B309" s="22" t="n"/>
      <c r="C309" s="22" t="n"/>
      <c r="D309" s="13" t="n"/>
      <c r="E309" s="13" t="n"/>
      <c r="F309" s="13" t="n"/>
      <c r="G309" s="13" t="n"/>
      <c r="H309" s="23" t="n"/>
      <c r="I309" s="104" t="n"/>
      <c r="J309" s="105" t="n"/>
      <c r="K309" s="105" t="n"/>
      <c r="L309" s="13" t="n"/>
      <c r="M309" s="22" t="n"/>
      <c r="N309" s="24" t="n"/>
      <c r="O309" s="106" t="n"/>
      <c r="P309" s="22" t="n"/>
      <c r="Q309" s="39" t="n"/>
      <c r="R309" s="22" t="n"/>
      <c r="S309" s="105" t="n"/>
      <c r="T309" s="105" t="n"/>
      <c r="U309" s="105" t="n"/>
      <c r="V309" s="105" t="n"/>
      <c r="W309" s="105" t="n"/>
      <c r="X309" s="105" t="n"/>
      <c r="Y309" s="105" t="n"/>
      <c r="Z309" s="105" t="n"/>
      <c r="AA309" s="105" t="n"/>
      <c r="AB309" s="22" t="n"/>
      <c r="AC309" s="105" t="n"/>
      <c r="AD309" s="22" t="n"/>
      <c r="AE309" s="105" t="n"/>
      <c r="AF309" s="22" t="n"/>
      <c r="AG309" s="105" t="n"/>
      <c r="AH309" s="105" t="n"/>
      <c r="AI309" s="105" t="n"/>
      <c r="AJ309" s="105" t="n"/>
      <c r="AK309" s="21">
        <f>IF(Q309="ANULADA","N/A",IF(ABS(AJ309)&gt;10,"Pendiente",IF(MAX(AB309,AD309,AF309)=0,"Pendiente",MAX(0,MAX(AB309,AD309,AF309)-O309))))</f>
        <v/>
      </c>
    </row>
    <row r="310" hidden="1" ht="15" customHeight="1">
      <c r="A310" s="22" t="n"/>
      <c r="B310" s="22" t="n"/>
      <c r="C310" s="22" t="n"/>
      <c r="D310" s="13" t="n"/>
      <c r="E310" s="13" t="n"/>
      <c r="F310" s="13" t="n"/>
      <c r="G310" s="13" t="n"/>
      <c r="H310" s="23" t="n"/>
      <c r="I310" s="104" t="n"/>
      <c r="J310" s="105" t="n"/>
      <c r="K310" s="105" t="n"/>
      <c r="L310" s="13" t="n"/>
      <c r="M310" s="22" t="n"/>
      <c r="N310" s="24" t="n"/>
      <c r="O310" s="106" t="n"/>
      <c r="P310" s="22" t="n"/>
      <c r="Q310" s="39" t="n"/>
      <c r="R310" s="22" t="n"/>
      <c r="S310" s="105" t="n"/>
      <c r="T310" s="105" t="n"/>
      <c r="U310" s="105" t="n"/>
      <c r="V310" s="105" t="n"/>
      <c r="W310" s="105" t="n"/>
      <c r="X310" s="105" t="n"/>
      <c r="Y310" s="105" t="n"/>
      <c r="Z310" s="105" t="n"/>
      <c r="AA310" s="105" t="n"/>
      <c r="AB310" s="22" t="n"/>
      <c r="AC310" s="105" t="n"/>
      <c r="AD310" s="22" t="n"/>
      <c r="AE310" s="105" t="n"/>
      <c r="AF310" s="22" t="n"/>
      <c r="AG310" s="105" t="n"/>
      <c r="AH310" s="105" t="n"/>
      <c r="AI310" s="105" t="n"/>
      <c r="AJ310" s="105" t="n"/>
      <c r="AK310" s="21">
        <f>IF(Q310="ANULADA","N/A",IF(ABS(AJ310)&gt;10,"Pendiente",IF(MAX(AB310,AD310,AF310)=0,"Pendiente",MAX(0,MAX(AB310,AD310,AF310)-O310))))</f>
        <v/>
      </c>
    </row>
    <row r="311" hidden="1" ht="15" customHeight="1">
      <c r="A311" s="22" t="n"/>
      <c r="B311" s="22" t="n"/>
      <c r="C311" s="22" t="n"/>
      <c r="D311" s="13" t="n"/>
      <c r="E311" s="13" t="n"/>
      <c r="F311" s="13" t="n"/>
      <c r="G311" s="13" t="n"/>
      <c r="H311" s="23" t="n"/>
      <c r="I311" s="104" t="n"/>
      <c r="J311" s="105" t="n"/>
      <c r="K311" s="105" t="n"/>
      <c r="L311" s="13" t="n"/>
      <c r="M311" s="22" t="n"/>
      <c r="N311" s="24" t="n"/>
      <c r="O311" s="106" t="n"/>
      <c r="P311" s="22" t="n"/>
      <c r="Q311" s="22" t="n"/>
      <c r="R311" s="22" t="n"/>
      <c r="S311" s="105" t="n"/>
      <c r="T311" s="105" t="n"/>
      <c r="U311" s="105" t="n"/>
      <c r="V311" s="105" t="n"/>
      <c r="W311" s="105" t="n"/>
      <c r="X311" s="105" t="n"/>
      <c r="Y311" s="105" t="n"/>
      <c r="Z311" s="105" t="n"/>
      <c r="AA311" s="105" t="n"/>
      <c r="AB311" s="22" t="n"/>
      <c r="AC311" s="105" t="n"/>
      <c r="AD311" s="22" t="n"/>
      <c r="AE311" s="105" t="n"/>
      <c r="AF311" s="22" t="n"/>
      <c r="AG311" s="105" t="n"/>
      <c r="AH311" s="105" t="n"/>
      <c r="AI311" s="105" t="n"/>
      <c r="AJ311" s="105" t="n"/>
      <c r="AK311" s="21">
        <f>IF(Q311="ANULADA","N/A",IF(ABS(AJ311)&gt;10,"Pendiente",IF(MAX(AB311,AD311,AF311)=0,"Pendiente",MAX(0,MAX(AB311,AD311,AF311)-O311))))</f>
        <v/>
      </c>
    </row>
    <row r="312" hidden="1" ht="15" customHeight="1">
      <c r="A312" s="22" t="n"/>
      <c r="B312" s="22" t="n"/>
      <c r="C312" s="22" t="n"/>
      <c r="D312" s="13" t="n"/>
      <c r="E312" s="13" t="n"/>
      <c r="F312" s="13" t="n"/>
      <c r="G312" s="13" t="n"/>
      <c r="H312" s="23" t="n"/>
      <c r="I312" s="104" t="n"/>
      <c r="J312" s="105" t="n"/>
      <c r="K312" s="105" t="n"/>
      <c r="L312" s="13" t="n"/>
      <c r="M312" s="22" t="n"/>
      <c r="N312" s="24" t="n"/>
      <c r="O312" s="106" t="n"/>
      <c r="P312" s="22" t="n"/>
      <c r="Q312" s="22" t="n"/>
      <c r="R312" s="22" t="n"/>
      <c r="S312" s="105" t="n"/>
      <c r="T312" s="105" t="n"/>
      <c r="U312" s="105" t="n"/>
      <c r="V312" s="105" t="n"/>
      <c r="W312" s="105" t="n"/>
      <c r="X312" s="105" t="n"/>
      <c r="Y312" s="105" t="n"/>
      <c r="Z312" s="105" t="n"/>
      <c r="AA312" s="105" t="n"/>
      <c r="AB312" s="22" t="n"/>
      <c r="AC312" s="105" t="n"/>
      <c r="AD312" s="22" t="n"/>
      <c r="AE312" s="105" t="n"/>
      <c r="AF312" s="22" t="n"/>
      <c r="AG312" s="105" t="n"/>
      <c r="AH312" s="105" t="n"/>
      <c r="AI312" s="105" t="n"/>
      <c r="AJ312" s="105" t="n"/>
      <c r="AK312" s="21">
        <f>IF(Q312="ANULADA","N/A",IF(ABS(AJ312)&gt;10,"Pendiente",IF(MAX(AB312,AD312,AF312)=0,"Pendiente",MAX(0,MAX(AB312,AD312,AF312)-O312))))</f>
        <v/>
      </c>
    </row>
    <row r="313" hidden="1" ht="15" customHeight="1">
      <c r="A313" s="22" t="n"/>
      <c r="B313" s="22" t="n"/>
      <c r="C313" s="22" t="n"/>
      <c r="D313" s="13" t="n"/>
      <c r="E313" s="13" t="n"/>
      <c r="F313" s="13" t="n"/>
      <c r="G313" s="13" t="n"/>
      <c r="H313" s="23" t="n"/>
      <c r="I313" s="104" t="n"/>
      <c r="J313" s="105" t="n"/>
      <c r="K313" s="105" t="n"/>
      <c r="L313" s="13" t="n"/>
      <c r="M313" s="22" t="n"/>
      <c r="N313" s="24" t="n"/>
      <c r="O313" s="106" t="n"/>
      <c r="P313" s="22" t="n"/>
      <c r="Q313" s="22" t="n"/>
      <c r="R313" s="22" t="n"/>
      <c r="S313" s="105" t="n"/>
      <c r="T313" s="105" t="n"/>
      <c r="U313" s="105" t="n"/>
      <c r="V313" s="105" t="n"/>
      <c r="W313" s="105" t="n"/>
      <c r="X313" s="105" t="n"/>
      <c r="Y313" s="105" t="n"/>
      <c r="Z313" s="105" t="n"/>
      <c r="AA313" s="105" t="n"/>
      <c r="AB313" s="22" t="n"/>
      <c r="AC313" s="105" t="n"/>
      <c r="AD313" s="22" t="n"/>
      <c r="AE313" s="105" t="n"/>
      <c r="AF313" s="22" t="n"/>
      <c r="AG313" s="105" t="n"/>
      <c r="AH313" s="105" t="n"/>
      <c r="AI313" s="105" t="n"/>
      <c r="AJ313" s="105" t="n"/>
      <c r="AK313" s="21">
        <f>IF(Q313="ANULADA","N/A",IF(ABS(AJ313)&gt;10,"Pendiente",IF(MAX(AB313,AD313,AF313)=0,"Pendiente",MAX(0,MAX(AB313,AD313,AF313)-O313))))</f>
        <v/>
      </c>
    </row>
    <row r="314" hidden="1" ht="15" customHeight="1">
      <c r="A314" s="22" t="n"/>
      <c r="B314" s="22" t="n"/>
      <c r="C314" s="22" t="n"/>
      <c r="D314" s="13" t="n"/>
      <c r="E314" s="13" t="n"/>
      <c r="F314" s="13" t="n"/>
      <c r="G314" s="13" t="n"/>
      <c r="H314" s="23" t="n"/>
      <c r="I314" s="104" t="n"/>
      <c r="J314" s="105" t="n"/>
      <c r="K314" s="105" t="n"/>
      <c r="L314" s="13" t="n"/>
      <c r="M314" s="22" t="n"/>
      <c r="N314" s="24" t="n"/>
      <c r="O314" s="106" t="n"/>
      <c r="P314" s="22" t="n"/>
      <c r="Q314" s="39" t="n"/>
      <c r="R314" s="22" t="n"/>
      <c r="S314" s="105" t="n"/>
      <c r="T314" s="105" t="n"/>
      <c r="U314" s="105" t="n"/>
      <c r="V314" s="105" t="n"/>
      <c r="W314" s="105" t="n"/>
      <c r="X314" s="105" t="n"/>
      <c r="Y314" s="105" t="n"/>
      <c r="Z314" s="105" t="n"/>
      <c r="AA314" s="105" t="n"/>
      <c r="AB314" s="22" t="n"/>
      <c r="AC314" s="105" t="n"/>
      <c r="AD314" s="22" t="n"/>
      <c r="AE314" s="105" t="n"/>
      <c r="AF314" s="22" t="n"/>
      <c r="AG314" s="105" t="n"/>
      <c r="AH314" s="105" t="n"/>
      <c r="AI314" s="105" t="n"/>
      <c r="AJ314" s="105" t="n"/>
      <c r="AK314" s="21">
        <f>IF(Q314="ANULADA","N/A",IF(ABS(AJ314)&gt;10,"Pendiente",IF(MAX(AB314,AD314,AF314)=0,"Pendiente",MAX(0,MAX(AB314,AD314,AF314)-O314))))</f>
        <v/>
      </c>
    </row>
    <row r="315" hidden="1" ht="15" customHeight="1">
      <c r="A315" s="22" t="n"/>
      <c r="B315" s="22" t="n"/>
      <c r="C315" s="22" t="n"/>
      <c r="D315" s="13" t="n"/>
      <c r="E315" s="13" t="n"/>
      <c r="F315" s="13" t="n"/>
      <c r="G315" s="13" t="n"/>
      <c r="H315" s="23" t="n"/>
      <c r="I315" s="104" t="n"/>
      <c r="J315" s="105" t="n"/>
      <c r="K315" s="105" t="n"/>
      <c r="L315" s="13" t="n"/>
      <c r="M315" s="22" t="n"/>
      <c r="N315" s="24" t="n"/>
      <c r="O315" s="106" t="n"/>
      <c r="P315" s="22" t="n"/>
      <c r="Q315" s="22" t="n"/>
      <c r="R315" s="22" t="n"/>
      <c r="S315" s="105" t="n"/>
      <c r="T315" s="105" t="n"/>
      <c r="U315" s="105" t="n"/>
      <c r="V315" s="105" t="n"/>
      <c r="W315" s="105" t="n"/>
      <c r="X315" s="105" t="n"/>
      <c r="Y315" s="105" t="n"/>
      <c r="Z315" s="105" t="n"/>
      <c r="AA315" s="105" t="n"/>
      <c r="AB315" s="22" t="n"/>
      <c r="AC315" s="105" t="n"/>
      <c r="AD315" s="22" t="n"/>
      <c r="AE315" s="105" t="n"/>
      <c r="AF315" s="22" t="n"/>
      <c r="AG315" s="105" t="n"/>
      <c r="AH315" s="105" t="n"/>
      <c r="AI315" s="105" t="n"/>
      <c r="AJ315" s="105" t="n"/>
      <c r="AK315" s="21">
        <f>IF(Q315="ANULADA","N/A",IF(ABS(AJ315)&gt;10,"Pendiente",IF(MAX(AB315,AD315,AF315)=0,"Pendiente",MAX(0,MAX(AB315,AD315,AF315)-O315))))</f>
        <v/>
      </c>
    </row>
    <row r="316" hidden="1" ht="15" customHeight="1">
      <c r="A316" s="22" t="n"/>
      <c r="B316" s="22" t="n"/>
      <c r="C316" s="22" t="n"/>
      <c r="D316" s="13" t="n"/>
      <c r="E316" s="13" t="n"/>
      <c r="F316" s="13" t="n"/>
      <c r="G316" s="13" t="n"/>
      <c r="H316" s="23" t="n"/>
      <c r="I316" s="104" t="n"/>
      <c r="J316" s="105" t="n"/>
      <c r="K316" s="105" t="n"/>
      <c r="L316" s="13" t="n"/>
      <c r="M316" s="22" t="n"/>
      <c r="N316" s="24" t="n"/>
      <c r="O316" s="106" t="n"/>
      <c r="P316" s="22" t="n"/>
      <c r="Q316" s="39" t="n"/>
      <c r="R316" s="22" t="n"/>
      <c r="S316" s="105" t="n"/>
      <c r="T316" s="105" t="n"/>
      <c r="U316" s="105" t="n"/>
      <c r="V316" s="105" t="n"/>
      <c r="W316" s="105" t="n"/>
      <c r="X316" s="105" t="n"/>
      <c r="Y316" s="105" t="n"/>
      <c r="Z316" s="105" t="n"/>
      <c r="AA316" s="105" t="n"/>
      <c r="AB316" s="22" t="n"/>
      <c r="AC316" s="105" t="n"/>
      <c r="AD316" s="22" t="n"/>
      <c r="AE316" s="105" t="n"/>
      <c r="AF316" s="22" t="n"/>
      <c r="AG316" s="105" t="n"/>
      <c r="AH316" s="105" t="n"/>
      <c r="AI316" s="105" t="n"/>
      <c r="AJ316" s="105" t="n"/>
      <c r="AK316" s="21">
        <f>IF(Q316="ANULADA","N/A",IF(ABS(AJ316)&gt;10,"Pendiente",IF(MAX(AB316,AD316,AF316)=0,"Pendiente",MAX(0,MAX(AB316,AD316,AF316)-O316))))</f>
        <v/>
      </c>
    </row>
    <row r="317" hidden="1" ht="15" customHeight="1">
      <c r="A317" s="22" t="n"/>
      <c r="B317" s="22" t="n"/>
      <c r="C317" s="22" t="n"/>
      <c r="D317" s="13" t="n"/>
      <c r="E317" s="13" t="n"/>
      <c r="F317" s="13" t="n"/>
      <c r="G317" s="13" t="n"/>
      <c r="H317" s="23" t="n"/>
      <c r="I317" s="104" t="n"/>
      <c r="J317" s="105" t="n"/>
      <c r="K317" s="105" t="n"/>
      <c r="L317" s="13" t="n"/>
      <c r="M317" s="22" t="n"/>
      <c r="N317" s="24" t="n"/>
      <c r="O317" s="106" t="n"/>
      <c r="P317" s="22" t="n"/>
      <c r="Q317" s="39" t="n"/>
      <c r="R317" s="22" t="n"/>
      <c r="S317" s="105" t="n"/>
      <c r="T317" s="105" t="n"/>
      <c r="U317" s="105" t="n"/>
      <c r="V317" s="105" t="n"/>
      <c r="W317" s="105" t="n"/>
      <c r="X317" s="105" t="n"/>
      <c r="Y317" s="105" t="n"/>
      <c r="Z317" s="105" t="n"/>
      <c r="AA317" s="105" t="n"/>
      <c r="AB317" s="22" t="n"/>
      <c r="AC317" s="105" t="n"/>
      <c r="AD317" s="22" t="n"/>
      <c r="AE317" s="105" t="n"/>
      <c r="AF317" s="22" t="n"/>
      <c r="AG317" s="105" t="n"/>
      <c r="AH317" s="105" t="n"/>
      <c r="AI317" s="105" t="n"/>
      <c r="AJ317" s="105" t="n"/>
      <c r="AK317" s="21">
        <f>IF(Q317="ANULADA","N/A",IF(ABS(AJ317)&gt;10,"Pendiente",IF(MAX(AB317,AD317,AF317)=0,"Pendiente",MAX(0,MAX(AB317,AD317,AF317)-O317))))</f>
        <v/>
      </c>
    </row>
    <row r="318" hidden="1" ht="15" customHeight="1">
      <c r="A318" s="22" t="n"/>
      <c r="B318" s="22" t="n"/>
      <c r="C318" s="22" t="n"/>
      <c r="D318" s="13" t="n"/>
      <c r="E318" s="13" t="n"/>
      <c r="F318" s="13" t="n"/>
      <c r="G318" s="13" t="n"/>
      <c r="H318" s="23" t="n"/>
      <c r="I318" s="104" t="n"/>
      <c r="J318" s="105" t="n"/>
      <c r="K318" s="105" t="n"/>
      <c r="L318" s="13" t="n"/>
      <c r="M318" s="22" t="n"/>
      <c r="N318" s="24" t="n"/>
      <c r="O318" s="106" t="n"/>
      <c r="P318" s="22" t="n"/>
      <c r="Q318" s="22" t="n"/>
      <c r="R318" s="22" t="n"/>
      <c r="S318" s="105" t="n"/>
      <c r="T318" s="105" t="n"/>
      <c r="U318" s="105" t="n"/>
      <c r="V318" s="105" t="n"/>
      <c r="W318" s="105" t="n"/>
      <c r="X318" s="105" t="n"/>
      <c r="Y318" s="105" t="n"/>
      <c r="Z318" s="105" t="n"/>
      <c r="AA318" s="105" t="n"/>
      <c r="AB318" s="22" t="n"/>
      <c r="AC318" s="105" t="n"/>
      <c r="AD318" s="22" t="n"/>
      <c r="AE318" s="105" t="n"/>
      <c r="AF318" s="22" t="n"/>
      <c r="AG318" s="105" t="n"/>
      <c r="AH318" s="105" t="n"/>
      <c r="AI318" s="105" t="n"/>
      <c r="AJ318" s="105" t="n"/>
      <c r="AK318" s="21">
        <f>IF(Q318="ANULADA","N/A",IF(ABS(AJ318)&gt;10,"Pendiente",IF(MAX(AB318,AD318,AF318)=0,"Pendiente",MAX(0,MAX(AB318,AD318,AF318)-O318))))</f>
        <v/>
      </c>
    </row>
    <row r="319" hidden="1" ht="15" customHeight="1">
      <c r="A319" s="22" t="n"/>
      <c r="B319" s="22" t="n"/>
      <c r="C319" s="22" t="n"/>
      <c r="D319" s="13" t="n"/>
      <c r="E319" s="13" t="n"/>
      <c r="F319" s="13" t="n"/>
      <c r="G319" s="13" t="n"/>
      <c r="H319" s="23" t="n"/>
      <c r="I319" s="104" t="n"/>
      <c r="J319" s="105" t="n"/>
      <c r="K319" s="105" t="n"/>
      <c r="L319" s="13" t="n"/>
      <c r="M319" s="22" t="n"/>
      <c r="N319" s="24" t="n"/>
      <c r="O319" s="106" t="n"/>
      <c r="P319" s="22" t="n"/>
      <c r="Q319" s="22" t="n"/>
      <c r="R319" s="22" t="n"/>
      <c r="S319" s="105" t="n"/>
      <c r="T319" s="105" t="n"/>
      <c r="U319" s="105" t="n"/>
      <c r="V319" s="105" t="n"/>
      <c r="W319" s="105" t="n"/>
      <c r="X319" s="105" t="n"/>
      <c r="Y319" s="105" t="n"/>
      <c r="Z319" s="105" t="n"/>
      <c r="AA319" s="105" t="n"/>
      <c r="AB319" s="22" t="n"/>
      <c r="AC319" s="105" t="n"/>
      <c r="AD319" s="22" t="n"/>
      <c r="AE319" s="105" t="n"/>
      <c r="AF319" s="22" t="n"/>
      <c r="AG319" s="105" t="n"/>
      <c r="AH319" s="105" t="n"/>
      <c r="AI319" s="105" t="n"/>
      <c r="AJ319" s="105" t="n"/>
      <c r="AK319" s="21">
        <f>IF(Q319="ANULADA","N/A",IF(ABS(AJ319)&gt;10,"Pendiente",IF(MAX(AB319,AD319,AF319)=0,"Pendiente",MAX(0,MAX(AB319,AD319,AF319)-O319))))</f>
        <v/>
      </c>
    </row>
    <row r="320" hidden="1" ht="15" customHeight="1">
      <c r="A320" s="22" t="n"/>
      <c r="B320" s="22" t="n"/>
      <c r="C320" s="22" t="n"/>
      <c r="D320" s="13" t="n"/>
      <c r="E320" s="13" t="n"/>
      <c r="F320" s="13" t="n"/>
      <c r="G320" s="13" t="n"/>
      <c r="H320" s="23" t="n"/>
      <c r="I320" s="104" t="n"/>
      <c r="J320" s="105" t="n"/>
      <c r="K320" s="105" t="n"/>
      <c r="L320" s="13" t="n"/>
      <c r="M320" s="22" t="n"/>
      <c r="N320" s="24" t="n"/>
      <c r="O320" s="106" t="n"/>
      <c r="P320" s="22" t="n"/>
      <c r="Q320" s="22" t="n"/>
      <c r="R320" s="22" t="n"/>
      <c r="S320" s="105" t="n"/>
      <c r="T320" s="105" t="n"/>
      <c r="U320" s="105" t="n"/>
      <c r="V320" s="105" t="n"/>
      <c r="W320" s="105" t="n"/>
      <c r="X320" s="105" t="n"/>
      <c r="Y320" s="105" t="n"/>
      <c r="Z320" s="105" t="n"/>
      <c r="AA320" s="105" t="n"/>
      <c r="AB320" s="22" t="n"/>
      <c r="AC320" s="105" t="n"/>
      <c r="AD320" s="22" t="n"/>
      <c r="AE320" s="105" t="n"/>
      <c r="AF320" s="22" t="n"/>
      <c r="AG320" s="105" t="n"/>
      <c r="AH320" s="105" t="n"/>
      <c r="AI320" s="105" t="n"/>
      <c r="AJ320" s="105" t="n"/>
      <c r="AK320" s="21">
        <f>IF(Q320="ANULADA","N/A",IF(ABS(AJ320)&gt;10,"Pendiente",IF(MAX(AB320,AD320,AF320)=0,"Pendiente",MAX(0,MAX(AB320,AD320,AF320)-O320))))</f>
        <v/>
      </c>
    </row>
    <row r="321" hidden="1" ht="15" customHeight="1">
      <c r="A321" s="22" t="n"/>
      <c r="B321" s="22" t="n"/>
      <c r="C321" s="22" t="n"/>
      <c r="D321" s="13" t="n"/>
      <c r="E321" s="13" t="n"/>
      <c r="F321" s="13" t="n"/>
      <c r="G321" s="13" t="n"/>
      <c r="H321" s="23" t="n"/>
      <c r="I321" s="104" t="n"/>
      <c r="J321" s="105" t="n"/>
      <c r="K321" s="105" t="n"/>
      <c r="L321" s="13" t="n"/>
      <c r="M321" s="22" t="n"/>
      <c r="N321" s="24" t="n"/>
      <c r="O321" s="106" t="n"/>
      <c r="P321" s="22" t="n"/>
      <c r="Q321" s="39" t="n"/>
      <c r="R321" s="22" t="n"/>
      <c r="S321" s="105" t="n"/>
      <c r="T321" s="105" t="n"/>
      <c r="U321" s="105" t="n"/>
      <c r="V321" s="105" t="n"/>
      <c r="W321" s="105" t="n"/>
      <c r="X321" s="105" t="n"/>
      <c r="Y321" s="105" t="n"/>
      <c r="Z321" s="105" t="n"/>
      <c r="AA321" s="105" t="n"/>
      <c r="AB321" s="22" t="n"/>
      <c r="AC321" s="105" t="n"/>
      <c r="AD321" s="22" t="n"/>
      <c r="AE321" s="105" t="n"/>
      <c r="AF321" s="22" t="n"/>
      <c r="AG321" s="105" t="n"/>
      <c r="AH321" s="105" t="n"/>
      <c r="AI321" s="105" t="n"/>
      <c r="AJ321" s="105" t="n"/>
      <c r="AK321" s="21">
        <f>IF(Q321="ANULADA","N/A",IF(ABS(AJ321)&gt;10,"Pendiente",IF(MAX(AB321,AD321,AF321)=0,"Pendiente",MAX(0,MAX(AB321,AD321,AF321)-O321))))</f>
        <v/>
      </c>
    </row>
    <row r="322" hidden="1" ht="15" customHeight="1">
      <c r="A322" s="22" t="n"/>
      <c r="B322" s="22" t="n"/>
      <c r="C322" s="22" t="n"/>
      <c r="D322" s="13" t="n"/>
      <c r="E322" s="13" t="n"/>
      <c r="F322" s="13" t="n"/>
      <c r="G322" s="13" t="n"/>
      <c r="H322" s="23" t="n"/>
      <c r="I322" s="104" t="n"/>
      <c r="J322" s="105" t="n"/>
      <c r="K322" s="105" t="n"/>
      <c r="L322" s="13" t="n"/>
      <c r="M322" s="22" t="n"/>
      <c r="N322" s="24" t="n"/>
      <c r="O322" s="106" t="n"/>
      <c r="P322" s="22" t="n"/>
      <c r="Q322" s="22" t="n"/>
      <c r="R322" s="22" t="n"/>
      <c r="S322" s="105" t="n"/>
      <c r="T322" s="105" t="n"/>
      <c r="U322" s="105" t="n"/>
      <c r="V322" s="105" t="n"/>
      <c r="W322" s="105" t="n"/>
      <c r="X322" s="105" t="n"/>
      <c r="Y322" s="105" t="n"/>
      <c r="Z322" s="105" t="n"/>
      <c r="AA322" s="105" t="n"/>
      <c r="AB322" s="22" t="n"/>
      <c r="AC322" s="105" t="n"/>
      <c r="AD322" s="22" t="n"/>
      <c r="AE322" s="105" t="n"/>
      <c r="AF322" s="22" t="n"/>
      <c r="AG322" s="105" t="n"/>
      <c r="AH322" s="105" t="n"/>
      <c r="AI322" s="105" t="n"/>
      <c r="AJ322" s="105" t="n"/>
      <c r="AK322" s="21">
        <f>IF(Q322="ANULADA","N/A",IF(ABS(AJ322)&gt;10,"Pendiente",IF(MAX(AB322,AD322,AF322)=0,"Pendiente",MAX(0,MAX(AB322,AD322,AF322)-O322))))</f>
        <v/>
      </c>
    </row>
    <row r="323" hidden="1" ht="15" customHeight="1">
      <c r="A323" s="22" t="n"/>
      <c r="B323" s="22" t="n"/>
      <c r="C323" s="22" t="n"/>
      <c r="D323" s="13" t="n"/>
      <c r="E323" s="13" t="n"/>
      <c r="F323" s="13" t="n"/>
      <c r="G323" s="13" t="n"/>
      <c r="H323" s="23" t="n"/>
      <c r="I323" s="104" t="n"/>
      <c r="J323" s="105" t="n"/>
      <c r="K323" s="105" t="n"/>
      <c r="L323" s="13" t="n"/>
      <c r="M323" s="22" t="n"/>
      <c r="N323" s="24" t="n"/>
      <c r="O323" s="106" t="n"/>
      <c r="P323" s="22" t="n"/>
      <c r="Q323" s="39" t="n"/>
      <c r="R323" s="22" t="n"/>
      <c r="S323" s="105" t="n"/>
      <c r="T323" s="105" t="n"/>
      <c r="U323" s="105" t="n"/>
      <c r="V323" s="105" t="n"/>
      <c r="W323" s="105" t="n"/>
      <c r="X323" s="105" t="n"/>
      <c r="Y323" s="105" t="n"/>
      <c r="Z323" s="105" t="n"/>
      <c r="AA323" s="105" t="n"/>
      <c r="AB323" s="22" t="n"/>
      <c r="AC323" s="105" t="n"/>
      <c r="AD323" s="22" t="n"/>
      <c r="AE323" s="105" t="n"/>
      <c r="AF323" s="22" t="n"/>
      <c r="AG323" s="105" t="n"/>
      <c r="AH323" s="105" t="n"/>
      <c r="AI323" s="105" t="n"/>
      <c r="AJ323" s="105" t="n"/>
      <c r="AK323" s="21">
        <f>IF(Q323="ANULADA","N/A",IF(ABS(AJ323)&gt;10,"Pendiente",IF(MAX(AB323,AD323,AF323)=0,"Pendiente",MAX(0,MAX(AB323,AD323,AF323)-O323))))</f>
        <v/>
      </c>
    </row>
    <row r="324" hidden="1" ht="15" customHeight="1">
      <c r="A324" s="22" t="n"/>
      <c r="B324" s="22" t="n"/>
      <c r="C324" s="22" t="n"/>
      <c r="D324" s="13" t="n"/>
      <c r="E324" s="13" t="n"/>
      <c r="F324" s="13" t="n"/>
      <c r="G324" s="13" t="n"/>
      <c r="H324" s="23" t="n"/>
      <c r="I324" s="104" t="n"/>
      <c r="J324" s="105" t="n"/>
      <c r="K324" s="105" t="n"/>
      <c r="L324" s="13" t="n"/>
      <c r="M324" s="22" t="n"/>
      <c r="N324" s="24" t="n"/>
      <c r="O324" s="106" t="n"/>
      <c r="P324" s="22" t="n"/>
      <c r="Q324" s="39" t="n"/>
      <c r="R324" s="22" t="n"/>
      <c r="S324" s="105" t="n"/>
      <c r="T324" s="105" t="n"/>
      <c r="U324" s="105" t="n"/>
      <c r="V324" s="105" t="n"/>
      <c r="W324" s="105" t="n"/>
      <c r="X324" s="105" t="n"/>
      <c r="Y324" s="105" t="n"/>
      <c r="Z324" s="105" t="n"/>
      <c r="AA324" s="105" t="n"/>
      <c r="AB324" s="22" t="n"/>
      <c r="AC324" s="105" t="n"/>
      <c r="AD324" s="22" t="n"/>
      <c r="AE324" s="105" t="n"/>
      <c r="AF324" s="22" t="n"/>
      <c r="AG324" s="105" t="n"/>
      <c r="AH324" s="105" t="n"/>
      <c r="AI324" s="105" t="n"/>
      <c r="AJ324" s="105" t="n"/>
      <c r="AK324" s="21">
        <f>IF(Q324="ANULADA","N/A",IF(ABS(AJ324)&gt;10,"Pendiente",IF(MAX(AB324,AD324,AF324)=0,"Pendiente",MAX(0,MAX(AB324,AD324,AF324)-O324))))</f>
        <v/>
      </c>
    </row>
    <row r="325" hidden="1" ht="15" customHeight="1">
      <c r="A325" s="22" t="n"/>
      <c r="B325" s="22" t="n"/>
      <c r="C325" s="22" t="n"/>
      <c r="D325" s="13" t="n"/>
      <c r="E325" s="13" t="n"/>
      <c r="F325" s="13" t="n"/>
      <c r="G325" s="13" t="n"/>
      <c r="H325" s="23" t="n"/>
      <c r="I325" s="104" t="n"/>
      <c r="J325" s="105" t="n"/>
      <c r="K325" s="105" t="n"/>
      <c r="L325" s="13" t="n"/>
      <c r="M325" s="22" t="n"/>
      <c r="N325" s="24" t="n"/>
      <c r="O325" s="106" t="n"/>
      <c r="P325" s="22" t="n"/>
      <c r="Q325" s="22" t="n"/>
      <c r="R325" s="22" t="n"/>
      <c r="S325" s="105" t="n"/>
      <c r="T325" s="105" t="n"/>
      <c r="U325" s="105" t="n"/>
      <c r="V325" s="105" t="n"/>
      <c r="W325" s="105" t="n"/>
      <c r="X325" s="105" t="n"/>
      <c r="Y325" s="105" t="n"/>
      <c r="Z325" s="105" t="n"/>
      <c r="AA325" s="105" t="n"/>
      <c r="AB325" s="22" t="n"/>
      <c r="AC325" s="105" t="n"/>
      <c r="AD325" s="22" t="n"/>
      <c r="AE325" s="105" t="n"/>
      <c r="AF325" s="22" t="n"/>
      <c r="AG325" s="105" t="n"/>
      <c r="AH325" s="105" t="n"/>
      <c r="AI325" s="105" t="n"/>
      <c r="AJ325" s="105" t="n"/>
      <c r="AK325" s="21">
        <f>IF(Q325="ANULADA","N/A",IF(ABS(AJ325)&gt;10,"Pendiente",IF(MAX(AB325,AD325,AF325)=0,"Pendiente",MAX(0,MAX(AB325,AD325,AF325)-O325))))</f>
        <v/>
      </c>
    </row>
    <row r="326" hidden="1" ht="15" customHeight="1">
      <c r="A326" s="22" t="n"/>
      <c r="B326" s="22" t="n"/>
      <c r="C326" s="22" t="n"/>
      <c r="D326" s="13" t="n"/>
      <c r="E326" s="13" t="n"/>
      <c r="F326" s="13" t="n"/>
      <c r="G326" s="13" t="n"/>
      <c r="H326" s="23" t="n"/>
      <c r="I326" s="104" t="n"/>
      <c r="J326" s="105" t="n"/>
      <c r="K326" s="105" t="n"/>
      <c r="L326" s="13" t="n"/>
      <c r="M326" s="22" t="n"/>
      <c r="N326" s="24" t="n"/>
      <c r="O326" s="106" t="n"/>
      <c r="P326" s="22" t="n"/>
      <c r="Q326" s="22" t="n"/>
      <c r="R326" s="22" t="n"/>
      <c r="S326" s="105" t="n"/>
      <c r="T326" s="105" t="n"/>
      <c r="U326" s="105" t="n"/>
      <c r="V326" s="105" t="n"/>
      <c r="W326" s="105" t="n"/>
      <c r="X326" s="105" t="n"/>
      <c r="Y326" s="105" t="n"/>
      <c r="Z326" s="105" t="n"/>
      <c r="AA326" s="105" t="n"/>
      <c r="AB326" s="22" t="n"/>
      <c r="AC326" s="105" t="n"/>
      <c r="AD326" s="22" t="n"/>
      <c r="AE326" s="105" t="n"/>
      <c r="AF326" s="22" t="n"/>
      <c r="AG326" s="105" t="n"/>
      <c r="AH326" s="105" t="n"/>
      <c r="AI326" s="105" t="n"/>
      <c r="AJ326" s="105" t="n"/>
      <c r="AK326" s="21">
        <f>IF(Q326="ANULADA","N/A",IF(ABS(AJ326)&gt;10,"Pendiente",IF(MAX(AB326,AD326,AF326)=0,"Pendiente",MAX(0,MAX(AB326,AD326,AF326)-O326))))</f>
        <v/>
      </c>
    </row>
    <row r="327" hidden="1" ht="15" customHeight="1">
      <c r="A327" s="22" t="n"/>
      <c r="B327" s="22" t="n"/>
      <c r="C327" s="22" t="n"/>
      <c r="D327" s="13" t="n"/>
      <c r="E327" s="13" t="n"/>
      <c r="F327" s="13" t="n"/>
      <c r="G327" s="13" t="n"/>
      <c r="H327" s="23" t="n"/>
      <c r="I327" s="104" t="n"/>
      <c r="J327" s="105" t="n"/>
      <c r="K327" s="105" t="n"/>
      <c r="L327" s="13" t="n"/>
      <c r="M327" s="22" t="n"/>
      <c r="N327" s="24" t="n"/>
      <c r="O327" s="106" t="n"/>
      <c r="P327" s="22" t="n"/>
      <c r="Q327" s="22" t="n"/>
      <c r="R327" s="22" t="n"/>
      <c r="S327" s="105" t="n"/>
      <c r="T327" s="105" t="n"/>
      <c r="U327" s="105" t="n"/>
      <c r="V327" s="105" t="n"/>
      <c r="W327" s="105" t="n"/>
      <c r="X327" s="105" t="n"/>
      <c r="Y327" s="105" t="n"/>
      <c r="Z327" s="105" t="n"/>
      <c r="AA327" s="105" t="n"/>
      <c r="AB327" s="22" t="n"/>
      <c r="AC327" s="105" t="n"/>
      <c r="AD327" s="22" t="n"/>
      <c r="AE327" s="105" t="n"/>
      <c r="AF327" s="22" t="n"/>
      <c r="AG327" s="105" t="n"/>
      <c r="AH327" s="105" t="n"/>
      <c r="AI327" s="105" t="n"/>
      <c r="AJ327" s="105" t="n"/>
      <c r="AK327" s="21">
        <f>IF(Q327="ANULADA","N/A",IF(ABS(AJ327)&gt;10,"Pendiente",IF(MAX(AB327,AD327,AF327)=0,"Pendiente",MAX(0,MAX(AB327,AD327,AF327)-O327))))</f>
        <v/>
      </c>
    </row>
    <row r="328" hidden="1" ht="15" customHeight="1">
      <c r="A328" s="22" t="n"/>
      <c r="B328" s="22" t="n"/>
      <c r="C328" s="22" t="n"/>
      <c r="D328" s="13" t="n"/>
      <c r="E328" s="13" t="n"/>
      <c r="F328" s="13" t="n"/>
      <c r="G328" s="13" t="n"/>
      <c r="H328" s="23" t="n"/>
      <c r="I328" s="104" t="n"/>
      <c r="J328" s="105" t="n"/>
      <c r="K328" s="105" t="n"/>
      <c r="L328" s="13" t="n"/>
      <c r="M328" s="22" t="n"/>
      <c r="N328" s="24" t="n"/>
      <c r="O328" s="106" t="n"/>
      <c r="P328" s="22" t="n"/>
      <c r="Q328" s="39" t="n"/>
      <c r="R328" s="22" t="n"/>
      <c r="S328" s="105" t="n"/>
      <c r="T328" s="105" t="n"/>
      <c r="U328" s="105" t="n"/>
      <c r="V328" s="105" t="n"/>
      <c r="W328" s="105" t="n"/>
      <c r="X328" s="105" t="n"/>
      <c r="Y328" s="105" t="n"/>
      <c r="Z328" s="105" t="n"/>
      <c r="AA328" s="105" t="n"/>
      <c r="AB328" s="22" t="n"/>
      <c r="AC328" s="105" t="n"/>
      <c r="AD328" s="22" t="n"/>
      <c r="AE328" s="105" t="n"/>
      <c r="AF328" s="22" t="n"/>
      <c r="AG328" s="105" t="n"/>
      <c r="AH328" s="105" t="n"/>
      <c r="AI328" s="105" t="n"/>
      <c r="AJ328" s="105" t="n"/>
      <c r="AK328" s="21">
        <f>IF(Q328="ANULADA","N/A",IF(ABS(AJ328)&gt;10,"Pendiente",IF(MAX(AB328,AD328,AF328)=0,"Pendiente",MAX(0,MAX(AB328,AD328,AF328)-O328))))</f>
        <v/>
      </c>
    </row>
    <row r="329" hidden="1" ht="15" customHeight="1">
      <c r="A329" s="22" t="n"/>
      <c r="B329" s="22" t="n"/>
      <c r="C329" s="22" t="n"/>
      <c r="D329" s="13" t="n"/>
      <c r="E329" s="13" t="n"/>
      <c r="F329" s="13" t="n"/>
      <c r="G329" s="13" t="n"/>
      <c r="H329" s="23" t="n"/>
      <c r="I329" s="104" t="n"/>
      <c r="J329" s="105" t="n"/>
      <c r="K329" s="105" t="n"/>
      <c r="L329" s="13" t="n"/>
      <c r="M329" s="22" t="n"/>
      <c r="N329" s="24" t="n"/>
      <c r="O329" s="106" t="n"/>
      <c r="P329" s="22" t="n"/>
      <c r="Q329" s="22" t="n"/>
      <c r="R329" s="22" t="n"/>
      <c r="S329" s="105" t="n"/>
      <c r="T329" s="105" t="n"/>
      <c r="U329" s="105" t="n"/>
      <c r="V329" s="105" t="n"/>
      <c r="W329" s="105" t="n"/>
      <c r="X329" s="105" t="n"/>
      <c r="Y329" s="105" t="n"/>
      <c r="Z329" s="105" t="n"/>
      <c r="AA329" s="105" t="n"/>
      <c r="AB329" s="22" t="n"/>
      <c r="AC329" s="105" t="n"/>
      <c r="AD329" s="22" t="n"/>
      <c r="AE329" s="105" t="n"/>
      <c r="AF329" s="22" t="n"/>
      <c r="AG329" s="105" t="n"/>
      <c r="AH329" s="105" t="n"/>
      <c r="AI329" s="105" t="n"/>
      <c r="AJ329" s="105" t="n"/>
      <c r="AK329" s="21">
        <f>IF(Q329="ANULADA","N/A",IF(ABS(AJ329)&gt;10,"Pendiente",IF(MAX(AB329,AD329,AF329)=0,"Pendiente",MAX(0,MAX(AB329,AD329,AF329)-O329))))</f>
        <v/>
      </c>
    </row>
    <row r="330" hidden="1" ht="15" customHeight="1">
      <c r="A330" s="22" t="n"/>
      <c r="B330" s="22" t="n"/>
      <c r="C330" s="22" t="n"/>
      <c r="D330" s="13" t="n"/>
      <c r="E330" s="13" t="n"/>
      <c r="F330" s="13" t="n"/>
      <c r="G330" s="13" t="n"/>
      <c r="H330" s="23" t="n"/>
      <c r="I330" s="104" t="n"/>
      <c r="J330" s="105" t="n"/>
      <c r="K330" s="105" t="n"/>
      <c r="L330" s="13" t="n"/>
      <c r="M330" s="22" t="n"/>
      <c r="N330" s="24" t="n"/>
      <c r="O330" s="106" t="n"/>
      <c r="P330" s="22" t="n"/>
      <c r="Q330" s="39" t="n"/>
      <c r="R330" s="22" t="n"/>
      <c r="S330" s="105" t="n"/>
      <c r="T330" s="105" t="n"/>
      <c r="U330" s="105" t="n"/>
      <c r="V330" s="105" t="n"/>
      <c r="W330" s="105" t="n"/>
      <c r="X330" s="105" t="n"/>
      <c r="Y330" s="105" t="n"/>
      <c r="Z330" s="105" t="n"/>
      <c r="AA330" s="105" t="n"/>
      <c r="AB330" s="22" t="n"/>
      <c r="AC330" s="105" t="n"/>
      <c r="AD330" s="22" t="n"/>
      <c r="AE330" s="105" t="n"/>
      <c r="AF330" s="22" t="n"/>
      <c r="AG330" s="105" t="n"/>
      <c r="AH330" s="105" t="n"/>
      <c r="AI330" s="105" t="n"/>
      <c r="AJ330" s="105" t="n"/>
      <c r="AK330" s="21">
        <f>IF(Q330="ANULADA","N/A",IF(ABS(AJ330)&gt;10,"Pendiente",IF(MAX(AB330,AD330,AF330)=0,"Pendiente",MAX(0,MAX(AB330,AD330,AF330)-O330))))</f>
        <v/>
      </c>
    </row>
    <row r="331" hidden="1" ht="15" customHeight="1">
      <c r="A331" s="22" t="n"/>
      <c r="B331" s="22" t="n"/>
      <c r="C331" s="22" t="n"/>
      <c r="D331" s="13" t="n"/>
      <c r="E331" s="13" t="n"/>
      <c r="F331" s="13" t="n"/>
      <c r="G331" s="13" t="n"/>
      <c r="H331" s="23" t="n"/>
      <c r="I331" s="104" t="n"/>
      <c r="J331" s="105" t="n"/>
      <c r="K331" s="105" t="n"/>
      <c r="L331" s="13" t="n"/>
      <c r="M331" s="22" t="n"/>
      <c r="N331" s="24" t="n"/>
      <c r="O331" s="106" t="n"/>
      <c r="P331" s="22" t="n"/>
      <c r="Q331" s="39" t="n"/>
      <c r="R331" s="22" t="n"/>
      <c r="S331" s="105" t="n"/>
      <c r="T331" s="105" t="n"/>
      <c r="U331" s="105" t="n"/>
      <c r="V331" s="105" t="n"/>
      <c r="W331" s="105" t="n"/>
      <c r="X331" s="105" t="n"/>
      <c r="Y331" s="105" t="n"/>
      <c r="Z331" s="105" t="n"/>
      <c r="AA331" s="105" t="n"/>
      <c r="AB331" s="22" t="n"/>
      <c r="AC331" s="105" t="n"/>
      <c r="AD331" s="22" t="n"/>
      <c r="AE331" s="105" t="n"/>
      <c r="AF331" s="22" t="n"/>
      <c r="AG331" s="105" t="n"/>
      <c r="AH331" s="105" t="n"/>
      <c r="AI331" s="105" t="n"/>
      <c r="AJ331" s="105" t="n"/>
      <c r="AK331" s="21">
        <f>IF(Q331="ANULADA","N/A",IF(ABS(AJ331)&gt;10,"Pendiente",IF(MAX(AB331,AD331,AF331)=0,"Pendiente",MAX(0,MAX(AB331,AD331,AF331)-O331))))</f>
        <v/>
      </c>
    </row>
    <row r="332" hidden="1" ht="15" customHeight="1">
      <c r="A332" s="22" t="n"/>
      <c r="B332" s="22" t="n"/>
      <c r="C332" s="22" t="n"/>
      <c r="D332" s="13" t="n"/>
      <c r="E332" s="13" t="n"/>
      <c r="F332" s="13" t="n"/>
      <c r="G332" s="13" t="n"/>
      <c r="H332" s="23" t="n"/>
      <c r="I332" s="104" t="n"/>
      <c r="J332" s="105" t="n"/>
      <c r="K332" s="105" t="n"/>
      <c r="L332" s="13" t="n"/>
      <c r="M332" s="22" t="n"/>
      <c r="N332" s="24" t="n"/>
      <c r="O332" s="106" t="n"/>
      <c r="P332" s="22" t="n"/>
      <c r="Q332" s="22" t="n"/>
      <c r="R332" s="22" t="n"/>
      <c r="S332" s="105" t="n"/>
      <c r="T332" s="105" t="n"/>
      <c r="U332" s="105" t="n"/>
      <c r="V332" s="105" t="n"/>
      <c r="W332" s="105" t="n"/>
      <c r="X332" s="105" t="n"/>
      <c r="Y332" s="105" t="n"/>
      <c r="Z332" s="105" t="n"/>
      <c r="AA332" s="105" t="n"/>
      <c r="AB332" s="22" t="n"/>
      <c r="AC332" s="105" t="n"/>
      <c r="AD332" s="22" t="n"/>
      <c r="AE332" s="105" t="n"/>
      <c r="AF332" s="22" t="n"/>
      <c r="AG332" s="105" t="n"/>
      <c r="AH332" s="105" t="n"/>
      <c r="AI332" s="105" t="n"/>
      <c r="AJ332" s="105" t="n"/>
      <c r="AK332" s="21">
        <f>IF(Q332="ANULADA","N/A",IF(ABS(AJ332)&gt;10,"Pendiente",IF(MAX(AB332,AD332,AF332)=0,"Pendiente",MAX(0,MAX(AB332,AD332,AF332)-O332))))</f>
        <v/>
      </c>
    </row>
    <row r="333" hidden="1" ht="15" customHeight="1">
      <c r="A333" s="22" t="n"/>
      <c r="B333" s="22" t="n"/>
      <c r="C333" s="22" t="n"/>
      <c r="D333" s="13" t="n"/>
      <c r="E333" s="13" t="n"/>
      <c r="F333" s="13" t="n"/>
      <c r="G333" s="13" t="n"/>
      <c r="H333" s="23" t="n"/>
      <c r="I333" s="104" t="n"/>
      <c r="J333" s="105" t="n"/>
      <c r="K333" s="105" t="n"/>
      <c r="L333" s="13" t="n"/>
      <c r="M333" s="22" t="n"/>
      <c r="N333" s="24" t="n"/>
      <c r="O333" s="106" t="n"/>
      <c r="P333" s="22" t="n"/>
      <c r="Q333" s="22" t="n"/>
      <c r="R333" s="22" t="n"/>
      <c r="S333" s="105" t="n"/>
      <c r="T333" s="105" t="n"/>
      <c r="U333" s="105" t="n"/>
      <c r="V333" s="105" t="n"/>
      <c r="W333" s="105" t="n"/>
      <c r="X333" s="105" t="n"/>
      <c r="Y333" s="105" t="n"/>
      <c r="Z333" s="105" t="n"/>
      <c r="AA333" s="105" t="n"/>
      <c r="AB333" s="22" t="n"/>
      <c r="AC333" s="105" t="n"/>
      <c r="AD333" s="22" t="n"/>
      <c r="AE333" s="105" t="n"/>
      <c r="AF333" s="22" t="n"/>
      <c r="AG333" s="105" t="n"/>
      <c r="AH333" s="105" t="n"/>
      <c r="AI333" s="105" t="n"/>
      <c r="AJ333" s="105" t="n"/>
      <c r="AK333" s="21">
        <f>IF(Q333="ANULADA","N/A",IF(ABS(AJ333)&gt;10,"Pendiente",IF(MAX(AB333,AD333,AF333)=0,"Pendiente",MAX(0,MAX(AB333,AD333,AF333)-O333))))</f>
        <v/>
      </c>
    </row>
    <row r="334" hidden="1" ht="15" customHeight="1">
      <c r="A334" s="22" t="n"/>
      <c r="B334" s="22" t="n"/>
      <c r="C334" s="22" t="n"/>
      <c r="D334" s="13" t="n"/>
      <c r="E334" s="13" t="n"/>
      <c r="F334" s="13" t="n"/>
      <c r="G334" s="13" t="n"/>
      <c r="H334" s="23" t="n"/>
      <c r="I334" s="104" t="n"/>
      <c r="J334" s="105" t="n"/>
      <c r="K334" s="105" t="n"/>
      <c r="L334" s="13" t="n"/>
      <c r="M334" s="22" t="n"/>
      <c r="N334" s="24" t="n"/>
      <c r="O334" s="106" t="n"/>
      <c r="P334" s="22" t="n"/>
      <c r="Q334" s="22" t="n"/>
      <c r="R334" s="22" t="n"/>
      <c r="S334" s="105" t="n"/>
      <c r="T334" s="105" t="n"/>
      <c r="U334" s="105" t="n"/>
      <c r="V334" s="105" t="n"/>
      <c r="W334" s="105" t="n"/>
      <c r="X334" s="105" t="n"/>
      <c r="Y334" s="105" t="n"/>
      <c r="Z334" s="105" t="n"/>
      <c r="AA334" s="105" t="n"/>
      <c r="AB334" s="22" t="n"/>
      <c r="AC334" s="105" t="n"/>
      <c r="AD334" s="22" t="n"/>
      <c r="AE334" s="105" t="n"/>
      <c r="AF334" s="22" t="n"/>
      <c r="AG334" s="105" t="n"/>
      <c r="AH334" s="105" t="n"/>
      <c r="AI334" s="105" t="n"/>
      <c r="AJ334" s="105" t="n"/>
      <c r="AK334" s="21">
        <f>IF(Q334="ANULADA","N/A",IF(ABS(AJ334)&gt;10,"Pendiente",IF(MAX(AB334,AD334,AF334)=0,"Pendiente",MAX(0,MAX(AB334,AD334,AF334)-O334))))</f>
        <v/>
      </c>
    </row>
    <row r="335" hidden="1" ht="15" customHeight="1">
      <c r="A335" s="22" t="n"/>
      <c r="B335" s="22" t="n"/>
      <c r="C335" s="22" t="n"/>
      <c r="D335" s="13" t="n"/>
      <c r="E335" s="13" t="n"/>
      <c r="F335" s="13" t="n"/>
      <c r="G335" s="13" t="n"/>
      <c r="H335" s="23" t="n"/>
      <c r="I335" s="104" t="n"/>
      <c r="J335" s="105" t="n"/>
      <c r="K335" s="105" t="n"/>
      <c r="L335" s="13" t="n"/>
      <c r="M335" s="22" t="n"/>
      <c r="N335" s="24" t="n"/>
      <c r="O335" s="106" t="n"/>
      <c r="P335" s="22" t="n"/>
      <c r="Q335" s="39" t="n"/>
      <c r="R335" s="22" t="n"/>
      <c r="S335" s="105" t="n"/>
      <c r="T335" s="105" t="n"/>
      <c r="U335" s="105" t="n"/>
      <c r="V335" s="105" t="n"/>
      <c r="W335" s="105" t="n"/>
      <c r="X335" s="105" t="n"/>
      <c r="Y335" s="105" t="n"/>
      <c r="Z335" s="105" t="n"/>
      <c r="AA335" s="105" t="n"/>
      <c r="AB335" s="22" t="n"/>
      <c r="AC335" s="105" t="n"/>
      <c r="AD335" s="22" t="n"/>
      <c r="AE335" s="105" t="n"/>
      <c r="AF335" s="22" t="n"/>
      <c r="AG335" s="105" t="n"/>
      <c r="AH335" s="105" t="n"/>
      <c r="AI335" s="105" t="n"/>
      <c r="AJ335" s="105" t="n"/>
      <c r="AK335" s="21">
        <f>IF(Q335="ANULADA","N/A",IF(ABS(AJ335)&gt;10,"Pendiente",IF(MAX(AB335,AD335,AF335)=0,"Pendiente",MAX(0,MAX(AB335,AD335,AF335)-O335))))</f>
        <v/>
      </c>
    </row>
    <row r="336" hidden="1" ht="15" customHeight="1">
      <c r="A336" s="22" t="n"/>
      <c r="B336" s="22" t="n"/>
      <c r="C336" s="22" t="n"/>
      <c r="D336" s="13" t="n"/>
      <c r="E336" s="13" t="n"/>
      <c r="F336" s="13" t="n"/>
      <c r="G336" s="13" t="n"/>
      <c r="H336" s="23" t="n"/>
      <c r="I336" s="104" t="n"/>
      <c r="J336" s="105" t="n"/>
      <c r="K336" s="105" t="n"/>
      <c r="L336" s="13" t="n"/>
      <c r="M336" s="22" t="n"/>
      <c r="N336" s="24" t="n"/>
      <c r="O336" s="106" t="n"/>
      <c r="P336" s="22" t="n"/>
      <c r="Q336" s="22" t="n"/>
      <c r="R336" s="22" t="n"/>
      <c r="S336" s="105" t="n"/>
      <c r="T336" s="105" t="n"/>
      <c r="U336" s="105" t="n"/>
      <c r="V336" s="105" t="n"/>
      <c r="W336" s="105" t="n"/>
      <c r="X336" s="105" t="n"/>
      <c r="Y336" s="105" t="n"/>
      <c r="Z336" s="105" t="n"/>
      <c r="AA336" s="105" t="n"/>
      <c r="AB336" s="22" t="n"/>
      <c r="AC336" s="105" t="n"/>
      <c r="AD336" s="22" t="n"/>
      <c r="AE336" s="105" t="n"/>
      <c r="AF336" s="22" t="n"/>
      <c r="AG336" s="105" t="n"/>
      <c r="AH336" s="105" t="n"/>
      <c r="AI336" s="105" t="n"/>
      <c r="AJ336" s="105" t="n"/>
      <c r="AK336" s="21">
        <f>IF(Q336="ANULADA","N/A",IF(ABS(AJ336)&gt;10,"Pendiente",IF(MAX(AB336,AD336,AF336)=0,"Pendiente",MAX(0,MAX(AB336,AD336,AF336)-O336))))</f>
        <v/>
      </c>
    </row>
    <row r="337" hidden="1" ht="15" customHeight="1">
      <c r="A337" s="22" t="n"/>
      <c r="B337" s="22" t="n"/>
      <c r="C337" s="22" t="n"/>
      <c r="D337" s="13" t="n"/>
      <c r="E337" s="13" t="n"/>
      <c r="F337" s="13" t="n"/>
      <c r="G337" s="13" t="n"/>
      <c r="H337" s="23" t="n"/>
      <c r="I337" s="104" t="n"/>
      <c r="J337" s="105" t="n"/>
      <c r="K337" s="105" t="n"/>
      <c r="L337" s="13" t="n"/>
      <c r="M337" s="22" t="n"/>
      <c r="N337" s="24" t="n"/>
      <c r="O337" s="106" t="n"/>
      <c r="P337" s="22" t="n"/>
      <c r="Q337" s="39" t="n"/>
      <c r="R337" s="22" t="n"/>
      <c r="S337" s="105" t="n"/>
      <c r="T337" s="105" t="n"/>
      <c r="U337" s="105" t="n"/>
      <c r="V337" s="105" t="n"/>
      <c r="W337" s="105" t="n"/>
      <c r="X337" s="105" t="n"/>
      <c r="Y337" s="105" t="n"/>
      <c r="Z337" s="105" t="n"/>
      <c r="AA337" s="105" t="n"/>
      <c r="AB337" s="22" t="n"/>
      <c r="AC337" s="105" t="n"/>
      <c r="AD337" s="22" t="n"/>
      <c r="AE337" s="105" t="n"/>
      <c r="AF337" s="22" t="n"/>
      <c r="AG337" s="105" t="n"/>
      <c r="AH337" s="105" t="n"/>
      <c r="AI337" s="105" t="n"/>
      <c r="AJ337" s="105" t="n"/>
      <c r="AK337" s="21">
        <f>IF(Q337="ANULADA","N/A",IF(ABS(AJ337)&gt;10,"Pendiente",IF(MAX(AB337,AD337,AF337)=0,"Pendiente",MAX(0,MAX(AB337,AD337,AF337)-O337))))</f>
        <v/>
      </c>
    </row>
    <row r="338" hidden="1" ht="15" customHeight="1">
      <c r="A338" s="22" t="n"/>
      <c r="B338" s="22" t="n"/>
      <c r="C338" s="22" t="n"/>
      <c r="D338" s="13" t="n"/>
      <c r="E338" s="13" t="n"/>
      <c r="F338" s="13" t="n"/>
      <c r="G338" s="13" t="n"/>
      <c r="H338" s="23" t="n"/>
      <c r="I338" s="104" t="n"/>
      <c r="J338" s="105" t="n"/>
      <c r="K338" s="105" t="n"/>
      <c r="L338" s="13" t="n"/>
      <c r="M338" s="22" t="n"/>
      <c r="N338" s="24" t="n"/>
      <c r="O338" s="106" t="n"/>
      <c r="P338" s="22" t="n"/>
      <c r="Q338" s="39" t="n"/>
      <c r="R338" s="22" t="n"/>
      <c r="S338" s="105" t="n"/>
      <c r="T338" s="105" t="n"/>
      <c r="U338" s="105" t="n"/>
      <c r="V338" s="105" t="n"/>
      <c r="W338" s="105" t="n"/>
      <c r="X338" s="105" t="n"/>
      <c r="Y338" s="105" t="n"/>
      <c r="Z338" s="105" t="n"/>
      <c r="AA338" s="105" t="n"/>
      <c r="AB338" s="22" t="n"/>
      <c r="AC338" s="105" t="n"/>
      <c r="AD338" s="22" t="n"/>
      <c r="AE338" s="105" t="n"/>
      <c r="AF338" s="22" t="n"/>
      <c r="AG338" s="105" t="n"/>
      <c r="AH338" s="105" t="n"/>
      <c r="AI338" s="105" t="n"/>
      <c r="AJ338" s="105" t="n"/>
      <c r="AK338" s="21">
        <f>IF(Q338="ANULADA","N/A",IF(ABS(AJ338)&gt;10,"Pendiente",IF(MAX(AB338,AD338,AF338)=0,"Pendiente",MAX(0,MAX(AB338,AD338,AF338)-O338))))</f>
        <v/>
      </c>
    </row>
    <row r="339" hidden="1" ht="15" customHeight="1">
      <c r="A339" s="22" t="n"/>
      <c r="B339" s="22" t="n"/>
      <c r="C339" s="22" t="n"/>
      <c r="D339" s="13" t="n"/>
      <c r="E339" s="13" t="n"/>
      <c r="F339" s="13" t="n"/>
      <c r="G339" s="13" t="n"/>
      <c r="H339" s="23" t="n"/>
      <c r="I339" s="104" t="n"/>
      <c r="J339" s="105" t="n"/>
      <c r="K339" s="105" t="n"/>
      <c r="L339" s="13" t="n"/>
      <c r="M339" s="22" t="n"/>
      <c r="N339" s="24" t="n"/>
      <c r="O339" s="106" t="n"/>
      <c r="P339" s="22" t="n"/>
      <c r="Q339" s="22" t="n"/>
      <c r="R339" s="22" t="n"/>
      <c r="S339" s="105" t="n"/>
      <c r="T339" s="105" t="n"/>
      <c r="U339" s="105" t="n"/>
      <c r="V339" s="105" t="n"/>
      <c r="W339" s="105" t="n"/>
      <c r="X339" s="105" t="n"/>
      <c r="Y339" s="105" t="n"/>
      <c r="Z339" s="105" t="n"/>
      <c r="AA339" s="105" t="n"/>
      <c r="AB339" s="22" t="n"/>
      <c r="AC339" s="105" t="n"/>
      <c r="AD339" s="22" t="n"/>
      <c r="AE339" s="105" t="n"/>
      <c r="AF339" s="22" t="n"/>
      <c r="AG339" s="105" t="n"/>
      <c r="AH339" s="105" t="n"/>
      <c r="AI339" s="105" t="n"/>
      <c r="AJ339" s="105" t="n"/>
      <c r="AK339" s="21">
        <f>IF(Q339="ANULADA","N/A",IF(ABS(AJ339)&gt;10,"Pendiente",IF(MAX(AB339,AD339,AF339)=0,"Pendiente",MAX(0,MAX(AB339,AD339,AF339)-O339))))</f>
        <v/>
      </c>
    </row>
    <row r="340" hidden="1" ht="15" customHeight="1">
      <c r="A340" s="22" t="n"/>
      <c r="B340" s="22" t="n"/>
      <c r="C340" s="22" t="n"/>
      <c r="D340" s="13" t="n"/>
      <c r="E340" s="13" t="n"/>
      <c r="F340" s="13" t="n"/>
      <c r="G340" s="13" t="n"/>
      <c r="H340" s="23" t="n"/>
      <c r="I340" s="104" t="n"/>
      <c r="J340" s="105" t="n"/>
      <c r="K340" s="105" t="n"/>
      <c r="L340" s="13" t="n"/>
      <c r="M340" s="22" t="n"/>
      <c r="N340" s="24" t="n"/>
      <c r="O340" s="106" t="n"/>
      <c r="P340" s="22" t="n"/>
      <c r="Q340" s="22" t="n"/>
      <c r="R340" s="22" t="n"/>
      <c r="S340" s="105" t="n"/>
      <c r="T340" s="105" t="n"/>
      <c r="U340" s="105" t="n"/>
      <c r="V340" s="105" t="n"/>
      <c r="W340" s="105" t="n"/>
      <c r="X340" s="105" t="n"/>
      <c r="Y340" s="105" t="n"/>
      <c r="Z340" s="105" t="n"/>
      <c r="AA340" s="105" t="n"/>
      <c r="AB340" s="22" t="n"/>
      <c r="AC340" s="105" t="n"/>
      <c r="AD340" s="22" t="n"/>
      <c r="AE340" s="105" t="n"/>
      <c r="AF340" s="22" t="n"/>
      <c r="AG340" s="105" t="n"/>
      <c r="AH340" s="105" t="n"/>
      <c r="AI340" s="105" t="n"/>
      <c r="AJ340" s="105" t="n"/>
      <c r="AK340" s="21">
        <f>IF(Q340="ANULADA","N/A",IF(ABS(AJ340)&gt;10,"Pendiente",IF(MAX(AB340,AD340,AF340)=0,"Pendiente",MAX(0,MAX(AB340,AD340,AF340)-O340))))</f>
        <v/>
      </c>
    </row>
    <row r="341" hidden="1" ht="15" customHeight="1">
      <c r="A341" s="22" t="n"/>
      <c r="B341" s="22" t="n"/>
      <c r="C341" s="22" t="n"/>
      <c r="D341" s="13" t="n"/>
      <c r="E341" s="13" t="n"/>
      <c r="F341" s="13" t="n"/>
      <c r="G341" s="13" t="n"/>
      <c r="H341" s="23" t="n"/>
      <c r="I341" s="104" t="n"/>
      <c r="J341" s="105" t="n"/>
      <c r="K341" s="105" t="n"/>
      <c r="L341" s="13" t="n"/>
      <c r="M341" s="22" t="n"/>
      <c r="N341" s="24" t="n"/>
      <c r="O341" s="106" t="n"/>
      <c r="P341" s="22" t="n"/>
      <c r="Q341" s="22" t="n"/>
      <c r="R341" s="22" t="n"/>
      <c r="S341" s="105" t="n"/>
      <c r="T341" s="105" t="n"/>
      <c r="U341" s="105" t="n"/>
      <c r="V341" s="105" t="n"/>
      <c r="W341" s="105" t="n"/>
      <c r="X341" s="105" t="n"/>
      <c r="Y341" s="105" t="n"/>
      <c r="Z341" s="105" t="n"/>
      <c r="AA341" s="105" t="n"/>
      <c r="AB341" s="22" t="n"/>
      <c r="AC341" s="105" t="n"/>
      <c r="AD341" s="22" t="n"/>
      <c r="AE341" s="105" t="n"/>
      <c r="AF341" s="22" t="n"/>
      <c r="AG341" s="105" t="n"/>
      <c r="AH341" s="105" t="n"/>
      <c r="AI341" s="105" t="n"/>
      <c r="AJ341" s="105" t="n"/>
      <c r="AK341" s="21">
        <f>IF(Q341="ANULADA","N/A",IF(ABS(AJ341)&gt;10,"Pendiente",IF(MAX(AB341,AD341,AF341)=0,"Pendiente",MAX(0,MAX(AB341,AD341,AF341)-O341))))</f>
        <v/>
      </c>
    </row>
    <row r="342" hidden="1" ht="15" customHeight="1">
      <c r="A342" s="22" t="n"/>
      <c r="B342" s="22" t="n"/>
      <c r="C342" s="22" t="n"/>
      <c r="D342" s="13" t="n"/>
      <c r="E342" s="13" t="n"/>
      <c r="F342" s="13" t="n"/>
      <c r="G342" s="13" t="n"/>
      <c r="H342" s="23" t="n"/>
      <c r="I342" s="104" t="n"/>
      <c r="J342" s="105" t="n"/>
      <c r="K342" s="105" t="n"/>
      <c r="L342" s="13" t="n"/>
      <c r="M342" s="22" t="n"/>
      <c r="N342" s="24" t="n"/>
      <c r="O342" s="106" t="n"/>
      <c r="P342" s="22" t="n"/>
      <c r="Q342" s="39" t="n"/>
      <c r="R342" s="22" t="n"/>
      <c r="S342" s="105" t="n"/>
      <c r="T342" s="105" t="n"/>
      <c r="U342" s="105" t="n"/>
      <c r="V342" s="105" t="n"/>
      <c r="W342" s="105" t="n"/>
      <c r="X342" s="105" t="n"/>
      <c r="Y342" s="105" t="n"/>
      <c r="Z342" s="105" t="n"/>
      <c r="AA342" s="105" t="n"/>
      <c r="AB342" s="22" t="n"/>
      <c r="AC342" s="105" t="n"/>
      <c r="AD342" s="22" t="n"/>
      <c r="AE342" s="105" t="n"/>
      <c r="AF342" s="22" t="n"/>
      <c r="AG342" s="105" t="n"/>
      <c r="AH342" s="105" t="n"/>
      <c r="AI342" s="105" t="n"/>
      <c r="AJ342" s="105" t="n"/>
      <c r="AK342" s="21">
        <f>IF(Q342="ANULADA","N/A",IF(ABS(AJ342)&gt;10,"Pendiente",IF(MAX(AB342,AD342,AF342)=0,"Pendiente",MAX(0,MAX(AB342,AD342,AF342)-O342))))</f>
        <v/>
      </c>
    </row>
    <row r="343" hidden="1" ht="15" customHeight="1">
      <c r="A343" s="22" t="n"/>
      <c r="B343" s="22" t="n"/>
      <c r="C343" s="22" t="n"/>
      <c r="D343" s="13" t="n"/>
      <c r="E343" s="13" t="n"/>
      <c r="F343" s="13" t="n"/>
      <c r="G343" s="13" t="n"/>
      <c r="H343" s="23" t="n"/>
      <c r="I343" s="104" t="n"/>
      <c r="J343" s="105" t="n"/>
      <c r="K343" s="105" t="n"/>
      <c r="L343" s="13" t="n"/>
      <c r="M343" s="22" t="n"/>
      <c r="N343" s="24" t="n"/>
      <c r="O343" s="106" t="n"/>
      <c r="P343" s="22" t="n"/>
      <c r="Q343" s="22" t="n"/>
      <c r="R343" s="22" t="n"/>
      <c r="S343" s="105" t="n"/>
      <c r="T343" s="105" t="n"/>
      <c r="U343" s="105" t="n"/>
      <c r="V343" s="105" t="n"/>
      <c r="W343" s="105" t="n"/>
      <c r="X343" s="105" t="n"/>
      <c r="Y343" s="105" t="n"/>
      <c r="Z343" s="105" t="n"/>
      <c r="AA343" s="105" t="n"/>
      <c r="AB343" s="22" t="n"/>
      <c r="AC343" s="105" t="n"/>
      <c r="AD343" s="22" t="n"/>
      <c r="AE343" s="105" t="n"/>
      <c r="AF343" s="22" t="n"/>
      <c r="AG343" s="105" t="n"/>
      <c r="AH343" s="105" t="n"/>
      <c r="AI343" s="105" t="n"/>
      <c r="AJ343" s="105" t="n"/>
      <c r="AK343" s="21">
        <f>IF(Q343="ANULADA","N/A",IF(ABS(AJ343)&gt;10,"Pendiente",IF(MAX(AB343,AD343,AF343)=0,"Pendiente",MAX(0,MAX(AB343,AD343,AF343)-O343))))</f>
        <v/>
      </c>
    </row>
    <row r="344" hidden="1" ht="15" customHeight="1">
      <c r="A344" s="22" t="n"/>
      <c r="B344" s="22" t="n"/>
      <c r="C344" s="22" t="n"/>
      <c r="D344" s="13" t="n"/>
      <c r="E344" s="13" t="n"/>
      <c r="F344" s="13" t="n"/>
      <c r="G344" s="13" t="n"/>
      <c r="H344" s="23" t="n"/>
      <c r="I344" s="104" t="n"/>
      <c r="J344" s="105" t="n"/>
      <c r="K344" s="105" t="n"/>
      <c r="L344" s="13" t="n"/>
      <c r="M344" s="22" t="n"/>
      <c r="N344" s="24" t="n"/>
      <c r="O344" s="106" t="n"/>
      <c r="P344" s="22" t="n"/>
      <c r="Q344" s="39" t="n"/>
      <c r="R344" s="22" t="n"/>
      <c r="S344" s="105" t="n"/>
      <c r="T344" s="105" t="n"/>
      <c r="U344" s="105" t="n"/>
      <c r="V344" s="105" t="n"/>
      <c r="W344" s="105" t="n"/>
      <c r="X344" s="105" t="n"/>
      <c r="Y344" s="105" t="n"/>
      <c r="Z344" s="105" t="n"/>
      <c r="AA344" s="105" t="n"/>
      <c r="AB344" s="22" t="n"/>
      <c r="AC344" s="105" t="n"/>
      <c r="AD344" s="22" t="n"/>
      <c r="AE344" s="105" t="n"/>
      <c r="AF344" s="22" t="n"/>
      <c r="AG344" s="105" t="n"/>
      <c r="AH344" s="105" t="n"/>
      <c r="AI344" s="105" t="n"/>
      <c r="AJ344" s="105" t="n"/>
      <c r="AK344" s="21">
        <f>IF(Q344="ANULADA","N/A",IF(ABS(AJ344)&gt;10,"Pendiente",IF(MAX(AB344,AD344,AF344)=0,"Pendiente",MAX(0,MAX(AB344,AD344,AF344)-O344))))</f>
        <v/>
      </c>
    </row>
    <row r="345" hidden="1" ht="15" customHeight="1">
      <c r="A345" s="22" t="n"/>
      <c r="B345" s="22" t="n"/>
      <c r="C345" s="22" t="n"/>
      <c r="D345" s="13" t="n"/>
      <c r="E345" s="13" t="n"/>
      <c r="F345" s="13" t="n"/>
      <c r="G345" s="13" t="n"/>
      <c r="H345" s="23" t="n"/>
      <c r="I345" s="104" t="n"/>
      <c r="J345" s="105" t="n"/>
      <c r="K345" s="105" t="n"/>
      <c r="L345" s="13" t="n"/>
      <c r="M345" s="22" t="n"/>
      <c r="N345" s="24" t="n"/>
      <c r="O345" s="106" t="n"/>
      <c r="P345" s="22" t="n"/>
      <c r="Q345" s="39" t="n"/>
      <c r="R345" s="22" t="n"/>
      <c r="S345" s="105" t="n"/>
      <c r="T345" s="105" t="n"/>
      <c r="U345" s="105" t="n"/>
      <c r="V345" s="105" t="n"/>
      <c r="W345" s="105" t="n"/>
      <c r="X345" s="105" t="n"/>
      <c r="Y345" s="105" t="n"/>
      <c r="Z345" s="105" t="n"/>
      <c r="AA345" s="105" t="n"/>
      <c r="AB345" s="22" t="n"/>
      <c r="AC345" s="105" t="n"/>
      <c r="AD345" s="22" t="n"/>
      <c r="AE345" s="105" t="n"/>
      <c r="AF345" s="22" t="n"/>
      <c r="AG345" s="105" t="n"/>
      <c r="AH345" s="105" t="n"/>
      <c r="AI345" s="105" t="n"/>
      <c r="AJ345" s="105" t="n"/>
      <c r="AK345" s="21">
        <f>IF(Q345="ANULADA","N/A",IF(ABS(AJ345)&gt;10,"Pendiente",IF(MAX(AB345,AD345,AF345)=0,"Pendiente",MAX(0,MAX(AB345,AD345,AF345)-O345))))</f>
        <v/>
      </c>
    </row>
    <row r="346" hidden="1" ht="15" customHeight="1">
      <c r="A346" s="22" t="n"/>
      <c r="B346" s="22" t="n"/>
      <c r="C346" s="22" t="n"/>
      <c r="D346" s="13" t="n"/>
      <c r="E346" s="13" t="n"/>
      <c r="F346" s="13" t="n"/>
      <c r="G346" s="13" t="n"/>
      <c r="H346" s="23" t="n"/>
      <c r="I346" s="104" t="n"/>
      <c r="J346" s="105" t="n"/>
      <c r="K346" s="105" t="n"/>
      <c r="L346" s="13" t="n"/>
      <c r="M346" s="22" t="n"/>
      <c r="N346" s="24" t="n"/>
      <c r="O346" s="106" t="n"/>
      <c r="P346" s="22" t="n"/>
      <c r="Q346" s="22" t="n"/>
      <c r="R346" s="22" t="n"/>
      <c r="S346" s="105" t="n"/>
      <c r="T346" s="105" t="n"/>
      <c r="U346" s="105" t="n"/>
      <c r="V346" s="105" t="n"/>
      <c r="W346" s="105" t="n"/>
      <c r="X346" s="105" t="n"/>
      <c r="Y346" s="105" t="n"/>
      <c r="Z346" s="105" t="n"/>
      <c r="AA346" s="105" t="n"/>
      <c r="AB346" s="22" t="n"/>
      <c r="AC346" s="105" t="n"/>
      <c r="AD346" s="22" t="n"/>
      <c r="AE346" s="105" t="n"/>
      <c r="AF346" s="22" t="n"/>
      <c r="AG346" s="105" t="n"/>
      <c r="AH346" s="105" t="n"/>
      <c r="AI346" s="105" t="n"/>
      <c r="AJ346" s="105" t="n"/>
      <c r="AK346" s="21">
        <f>IF(Q346="ANULADA","N/A",IF(ABS(AJ346)&gt;10,"Pendiente",IF(MAX(AB346,AD346,AF346)=0,"Pendiente",MAX(0,MAX(AB346,AD346,AF346)-O346))))</f>
        <v/>
      </c>
    </row>
    <row r="347" hidden="1" ht="15" customHeight="1">
      <c r="A347" s="22" t="n"/>
      <c r="B347" s="22" t="n"/>
      <c r="C347" s="22" t="n"/>
      <c r="D347" s="13" t="n"/>
      <c r="E347" s="13" t="n"/>
      <c r="F347" s="13" t="n"/>
      <c r="G347" s="13" t="n"/>
      <c r="H347" s="23" t="n"/>
      <c r="I347" s="104" t="n"/>
      <c r="J347" s="105" t="n"/>
      <c r="K347" s="105" t="n"/>
      <c r="L347" s="13" t="n"/>
      <c r="M347" s="22" t="n"/>
      <c r="N347" s="24" t="n"/>
      <c r="O347" s="106" t="n"/>
      <c r="P347" s="22" t="n"/>
      <c r="Q347" s="22" t="n"/>
      <c r="R347" s="22" t="n"/>
      <c r="S347" s="105" t="n"/>
      <c r="T347" s="105" t="n"/>
      <c r="U347" s="105" t="n"/>
      <c r="V347" s="105" t="n"/>
      <c r="W347" s="105" t="n"/>
      <c r="X347" s="105" t="n"/>
      <c r="Y347" s="105" t="n"/>
      <c r="Z347" s="105" t="n"/>
      <c r="AA347" s="105" t="n"/>
      <c r="AB347" s="22" t="n"/>
      <c r="AC347" s="105" t="n"/>
      <c r="AD347" s="22" t="n"/>
      <c r="AE347" s="105" t="n"/>
      <c r="AF347" s="22" t="n"/>
      <c r="AG347" s="105" t="n"/>
      <c r="AH347" s="105" t="n"/>
      <c r="AI347" s="105" t="n"/>
      <c r="AJ347" s="105" t="n"/>
      <c r="AK347" s="21">
        <f>IF(Q347="ANULADA","N/A",IF(ABS(AJ347)&gt;10,"Pendiente",IF(MAX(AB347,AD347,AF347)=0,"Pendiente",MAX(0,MAX(AB347,AD347,AF347)-O347))))</f>
        <v/>
      </c>
    </row>
    <row r="348" hidden="1" ht="15" customHeight="1">
      <c r="A348" s="22" t="n"/>
      <c r="B348" s="22" t="n"/>
      <c r="C348" s="22" t="n"/>
      <c r="D348" s="13" t="n"/>
      <c r="E348" s="13" t="n"/>
      <c r="F348" s="13" t="n"/>
      <c r="G348" s="13" t="n"/>
      <c r="H348" s="23" t="n"/>
      <c r="I348" s="104" t="n"/>
      <c r="J348" s="105" t="n"/>
      <c r="K348" s="105" t="n"/>
      <c r="L348" s="13" t="n"/>
      <c r="M348" s="22" t="n"/>
      <c r="N348" s="24" t="n"/>
      <c r="O348" s="106" t="n"/>
      <c r="P348" s="22" t="n"/>
      <c r="Q348" s="22" t="n"/>
      <c r="R348" s="22" t="n"/>
      <c r="S348" s="105" t="n"/>
      <c r="T348" s="105" t="n"/>
      <c r="U348" s="105" t="n"/>
      <c r="V348" s="105" t="n"/>
      <c r="W348" s="105" t="n"/>
      <c r="X348" s="105" t="n"/>
      <c r="Y348" s="105" t="n"/>
      <c r="Z348" s="105" t="n"/>
      <c r="AA348" s="105" t="n"/>
      <c r="AB348" s="22" t="n"/>
      <c r="AC348" s="105" t="n"/>
      <c r="AD348" s="22" t="n"/>
      <c r="AE348" s="105" t="n"/>
      <c r="AF348" s="22" t="n"/>
      <c r="AG348" s="105" t="n"/>
      <c r="AH348" s="105" t="n"/>
      <c r="AI348" s="105" t="n"/>
      <c r="AJ348" s="105" t="n"/>
      <c r="AK348" s="21">
        <f>IF(Q348="ANULADA","N/A",IF(ABS(AJ348)&gt;10,"Pendiente",IF(MAX(AB348,AD348,AF348)=0,"Pendiente",MAX(0,MAX(AB348,AD348,AF348)-O348))))</f>
        <v/>
      </c>
    </row>
    <row r="349" hidden="1" ht="15" customHeight="1">
      <c r="A349" s="22" t="n"/>
      <c r="B349" s="22" t="n"/>
      <c r="C349" s="22" t="n"/>
      <c r="D349" s="13" t="n"/>
      <c r="E349" s="13" t="n"/>
      <c r="F349" s="13" t="n"/>
      <c r="G349" s="13" t="n"/>
      <c r="H349" s="23" t="n"/>
      <c r="I349" s="104" t="n"/>
      <c r="J349" s="105" t="n"/>
      <c r="K349" s="105" t="n"/>
      <c r="L349" s="13" t="n"/>
      <c r="M349" s="22" t="n"/>
      <c r="N349" s="24" t="n"/>
      <c r="O349" s="106" t="n"/>
      <c r="P349" s="22" t="n"/>
      <c r="Q349" s="39" t="n"/>
      <c r="R349" s="22" t="n"/>
      <c r="S349" s="105" t="n"/>
      <c r="T349" s="105" t="n"/>
      <c r="U349" s="105" t="n"/>
      <c r="V349" s="105" t="n"/>
      <c r="W349" s="105" t="n"/>
      <c r="X349" s="105" t="n"/>
      <c r="Y349" s="105" t="n"/>
      <c r="Z349" s="105" t="n"/>
      <c r="AA349" s="105" t="n"/>
      <c r="AB349" s="22" t="n"/>
      <c r="AC349" s="105" t="n"/>
      <c r="AD349" s="22" t="n"/>
      <c r="AE349" s="105" t="n"/>
      <c r="AF349" s="22" t="n"/>
      <c r="AG349" s="105" t="n"/>
      <c r="AH349" s="105" t="n"/>
      <c r="AI349" s="105" t="n"/>
      <c r="AJ349" s="105" t="n"/>
      <c r="AK349" s="21">
        <f>IF(Q349="ANULADA","N/A",IF(ABS(AJ349)&gt;10,"Pendiente",IF(MAX(AB349,AD349,AF349)=0,"Pendiente",MAX(0,MAX(AB349,AD349,AF349)-O349))))</f>
        <v/>
      </c>
    </row>
    <row r="350" hidden="1" ht="15" customHeight="1">
      <c r="A350" s="22" t="n"/>
      <c r="B350" s="22" t="n"/>
      <c r="C350" s="22" t="n"/>
      <c r="D350" s="13" t="n"/>
      <c r="E350" s="13" t="n"/>
      <c r="F350" s="13" t="n"/>
      <c r="G350" s="13" t="n"/>
      <c r="H350" s="23" t="n"/>
      <c r="I350" s="104" t="n"/>
      <c r="J350" s="105" t="n"/>
      <c r="K350" s="105" t="n"/>
      <c r="L350" s="13" t="n"/>
      <c r="M350" s="22" t="n"/>
      <c r="N350" s="24" t="n"/>
      <c r="O350" s="106" t="n"/>
      <c r="P350" s="22" t="n"/>
      <c r="Q350" s="22" t="n"/>
      <c r="R350" s="22" t="n"/>
      <c r="S350" s="105" t="n"/>
      <c r="T350" s="105" t="n"/>
      <c r="U350" s="105" t="n"/>
      <c r="V350" s="105" t="n"/>
      <c r="W350" s="105" t="n"/>
      <c r="X350" s="105" t="n"/>
      <c r="Y350" s="105" t="n"/>
      <c r="Z350" s="105" t="n"/>
      <c r="AA350" s="105" t="n"/>
      <c r="AB350" s="22" t="n"/>
      <c r="AC350" s="105" t="n"/>
      <c r="AD350" s="22" t="n"/>
      <c r="AE350" s="105" t="n"/>
      <c r="AF350" s="22" t="n"/>
      <c r="AG350" s="105" t="n"/>
      <c r="AH350" s="105" t="n"/>
      <c r="AI350" s="105" t="n"/>
      <c r="AJ350" s="105" t="n"/>
      <c r="AK350" s="21">
        <f>IF(Q350="ANULADA","N/A",IF(ABS(AJ350)&gt;10,"Pendiente",IF(MAX(AB350,AD350,AF350)=0,"Pendiente",MAX(0,MAX(AB350,AD350,AF350)-O350))))</f>
        <v/>
      </c>
    </row>
    <row r="351" hidden="1" ht="15" customHeight="1">
      <c r="A351" s="22" t="n"/>
      <c r="B351" s="22" t="n"/>
      <c r="C351" s="22" t="n"/>
      <c r="D351" s="13" t="n"/>
      <c r="E351" s="13" t="n"/>
      <c r="F351" s="13" t="n"/>
      <c r="G351" s="13" t="n"/>
      <c r="H351" s="23" t="n"/>
      <c r="I351" s="104" t="n"/>
      <c r="J351" s="105" t="n"/>
      <c r="K351" s="105" t="n"/>
      <c r="L351" s="13" t="n"/>
      <c r="M351" s="22" t="n"/>
      <c r="N351" s="24" t="n"/>
      <c r="O351" s="106" t="n"/>
      <c r="P351" s="22" t="n"/>
      <c r="Q351" s="39" t="n"/>
      <c r="R351" s="22" t="n"/>
      <c r="S351" s="105" t="n"/>
      <c r="T351" s="105" t="n"/>
      <c r="U351" s="105" t="n"/>
      <c r="V351" s="105" t="n"/>
      <c r="W351" s="105" t="n"/>
      <c r="X351" s="105" t="n"/>
      <c r="Y351" s="105" t="n"/>
      <c r="Z351" s="105" t="n"/>
      <c r="AA351" s="105" t="n"/>
      <c r="AB351" s="22" t="n"/>
      <c r="AC351" s="105" t="n"/>
      <c r="AD351" s="22" t="n"/>
      <c r="AE351" s="105" t="n"/>
      <c r="AF351" s="22" t="n"/>
      <c r="AG351" s="105" t="n"/>
      <c r="AH351" s="105" t="n"/>
      <c r="AI351" s="105" t="n"/>
      <c r="AJ351" s="105" t="n"/>
      <c r="AK351" s="21">
        <f>IF(Q351="ANULADA","N/A",IF(ABS(AJ351)&gt;10,"Pendiente",IF(MAX(AB351,AD351,AF351)=0,"Pendiente",MAX(0,MAX(AB351,AD351,AF351)-O351))))</f>
        <v/>
      </c>
    </row>
    <row r="352" hidden="1" ht="15" customHeight="1">
      <c r="A352" s="22" t="n"/>
      <c r="B352" s="22" t="n"/>
      <c r="C352" s="22" t="n"/>
      <c r="D352" s="13" t="n"/>
      <c r="E352" s="13" t="n"/>
      <c r="F352" s="13" t="n"/>
      <c r="G352" s="13" t="n"/>
      <c r="H352" s="23" t="n"/>
      <c r="I352" s="104" t="n"/>
      <c r="J352" s="105" t="n"/>
      <c r="K352" s="105" t="n"/>
      <c r="L352" s="13" t="n"/>
      <c r="M352" s="22" t="n"/>
      <c r="N352" s="24" t="n"/>
      <c r="O352" s="106" t="n"/>
      <c r="P352" s="22" t="n"/>
      <c r="Q352" s="39" t="n"/>
      <c r="R352" s="22" t="n"/>
      <c r="S352" s="105" t="n"/>
      <c r="T352" s="105" t="n"/>
      <c r="U352" s="105" t="n"/>
      <c r="V352" s="105" t="n"/>
      <c r="W352" s="105" t="n"/>
      <c r="X352" s="105" t="n"/>
      <c r="Y352" s="105" t="n"/>
      <c r="Z352" s="105" t="n"/>
      <c r="AA352" s="105" t="n"/>
      <c r="AB352" s="22" t="n"/>
      <c r="AC352" s="105" t="n"/>
      <c r="AD352" s="22" t="n"/>
      <c r="AE352" s="105" t="n"/>
      <c r="AF352" s="22" t="n"/>
      <c r="AG352" s="105" t="n"/>
      <c r="AH352" s="105" t="n"/>
      <c r="AI352" s="105" t="n"/>
      <c r="AJ352" s="105" t="n"/>
      <c r="AK352" s="21">
        <f>IF(Q352="ANULADA","N/A",IF(ABS(AJ352)&gt;10,"Pendiente",IF(MAX(AB352,AD352,AF352)=0,"Pendiente",MAX(0,MAX(AB352,AD352,AF352)-O352))))</f>
        <v/>
      </c>
    </row>
    <row r="353" hidden="1" ht="15" customHeight="1">
      <c r="A353" s="22" t="n"/>
      <c r="B353" s="22" t="n"/>
      <c r="C353" s="22" t="n"/>
      <c r="D353" s="13" t="n"/>
      <c r="E353" s="13" t="n"/>
      <c r="F353" s="13" t="n"/>
      <c r="G353" s="13" t="n"/>
      <c r="H353" s="23" t="n"/>
      <c r="I353" s="104" t="n"/>
      <c r="J353" s="105" t="n"/>
      <c r="K353" s="105" t="n"/>
      <c r="L353" s="13" t="n"/>
      <c r="M353" s="22" t="n"/>
      <c r="N353" s="24" t="n"/>
      <c r="O353" s="106" t="n"/>
      <c r="P353" s="22" t="n"/>
      <c r="Q353" s="22" t="n"/>
      <c r="R353" s="22" t="n"/>
      <c r="S353" s="105" t="n"/>
      <c r="T353" s="105" t="n"/>
      <c r="U353" s="105" t="n"/>
      <c r="V353" s="105" t="n"/>
      <c r="W353" s="105" t="n"/>
      <c r="X353" s="105" t="n"/>
      <c r="Y353" s="105" t="n"/>
      <c r="Z353" s="105" t="n"/>
      <c r="AA353" s="105" t="n"/>
      <c r="AB353" s="22" t="n"/>
      <c r="AC353" s="105" t="n"/>
      <c r="AD353" s="22" t="n"/>
      <c r="AE353" s="105" t="n"/>
      <c r="AF353" s="22" t="n"/>
      <c r="AG353" s="105" t="n"/>
      <c r="AH353" s="105" t="n"/>
      <c r="AI353" s="105" t="n"/>
      <c r="AJ353" s="105" t="n"/>
      <c r="AK353" s="21">
        <f>IF(Q353="ANULADA","N/A",IF(ABS(AJ353)&gt;10,"Pendiente",IF(MAX(AB353,AD353,AF353)=0,"Pendiente",MAX(0,MAX(AB353,AD353,AF353)-O353))))</f>
        <v/>
      </c>
    </row>
    <row r="354" hidden="1" ht="15" customHeight="1">
      <c r="A354" s="22" t="n"/>
      <c r="B354" s="22" t="n"/>
      <c r="C354" s="22" t="n"/>
      <c r="D354" s="13" t="n"/>
      <c r="E354" s="13" t="n"/>
      <c r="F354" s="13" t="n"/>
      <c r="G354" s="13" t="n"/>
      <c r="H354" s="23" t="n"/>
      <c r="I354" s="104" t="n"/>
      <c r="J354" s="105" t="n"/>
      <c r="K354" s="105" t="n"/>
      <c r="L354" s="13" t="n"/>
      <c r="M354" s="22" t="n"/>
      <c r="N354" s="24" t="n"/>
      <c r="O354" s="106" t="n"/>
      <c r="P354" s="22" t="n"/>
      <c r="Q354" s="22" t="n"/>
      <c r="R354" s="22" t="n"/>
      <c r="S354" s="105" t="n"/>
      <c r="T354" s="105" t="n"/>
      <c r="U354" s="105" t="n"/>
      <c r="V354" s="105" t="n"/>
      <c r="W354" s="105" t="n"/>
      <c r="X354" s="105" t="n"/>
      <c r="Y354" s="105" t="n"/>
      <c r="Z354" s="105" t="n"/>
      <c r="AA354" s="105" t="n"/>
      <c r="AB354" s="22" t="n"/>
      <c r="AC354" s="105" t="n"/>
      <c r="AD354" s="22" t="n"/>
      <c r="AE354" s="105" t="n"/>
      <c r="AF354" s="22" t="n"/>
      <c r="AG354" s="105" t="n"/>
      <c r="AH354" s="105" t="n"/>
      <c r="AI354" s="105" t="n"/>
      <c r="AJ354" s="105" t="n"/>
      <c r="AK354" s="21">
        <f>IF(Q354="ANULADA","N/A",IF(ABS(AJ354)&gt;10,"Pendiente",IF(MAX(AB354,AD354,AF354)=0,"Pendiente",MAX(0,MAX(AB354,AD354,AF354)-O354))))</f>
        <v/>
      </c>
    </row>
    <row r="355" hidden="1" ht="15" customHeight="1">
      <c r="A355" s="22" t="n"/>
      <c r="B355" s="22" t="n"/>
      <c r="C355" s="22" t="n"/>
      <c r="D355" s="13" t="n"/>
      <c r="E355" s="13" t="n"/>
      <c r="F355" s="13" t="n"/>
      <c r="G355" s="13" t="n"/>
      <c r="H355" s="23" t="n"/>
      <c r="I355" s="104" t="n"/>
      <c r="J355" s="105" t="n"/>
      <c r="K355" s="105" t="n"/>
      <c r="L355" s="13" t="n"/>
      <c r="M355" s="22" t="n"/>
      <c r="N355" s="24" t="n"/>
      <c r="O355" s="106" t="n"/>
      <c r="P355" s="22" t="n"/>
      <c r="Q355" s="22" t="n"/>
      <c r="R355" s="22" t="n"/>
      <c r="S355" s="105" t="n"/>
      <c r="T355" s="105" t="n"/>
      <c r="U355" s="105" t="n"/>
      <c r="V355" s="105" t="n"/>
      <c r="W355" s="105" t="n"/>
      <c r="X355" s="105" t="n"/>
      <c r="Y355" s="105" t="n"/>
      <c r="Z355" s="105" t="n"/>
      <c r="AA355" s="105" t="n"/>
      <c r="AB355" s="22" t="n"/>
      <c r="AC355" s="105" t="n"/>
      <c r="AD355" s="22" t="n"/>
      <c r="AE355" s="105" t="n"/>
      <c r="AF355" s="22" t="n"/>
      <c r="AG355" s="105" t="n"/>
      <c r="AH355" s="105" t="n"/>
      <c r="AI355" s="105" t="n"/>
      <c r="AJ355" s="105" t="n"/>
      <c r="AK355" s="21">
        <f>IF(Q355="ANULADA","N/A",IF(ABS(AJ355)&gt;10,"Pendiente",IF(MAX(AB355,AD355,AF355)=0,"Pendiente",MAX(0,MAX(AB355,AD355,AF355)-O355))))</f>
        <v/>
      </c>
    </row>
    <row r="356" hidden="1" ht="15" customHeight="1">
      <c r="A356" s="22" t="n"/>
      <c r="B356" s="22" t="n"/>
      <c r="C356" s="22" t="n"/>
      <c r="D356" s="13" t="n"/>
      <c r="E356" s="13" t="n"/>
      <c r="F356" s="13" t="n"/>
      <c r="G356" s="13" t="n"/>
      <c r="H356" s="23" t="n"/>
      <c r="I356" s="104" t="n"/>
      <c r="J356" s="105" t="n"/>
      <c r="K356" s="105" t="n"/>
      <c r="L356" s="13" t="n"/>
      <c r="M356" s="22" t="n"/>
      <c r="N356" s="24" t="n"/>
      <c r="O356" s="106" t="n"/>
      <c r="P356" s="22" t="n"/>
      <c r="Q356" s="39" t="n"/>
      <c r="R356" s="22" t="n"/>
      <c r="S356" s="105" t="n"/>
      <c r="T356" s="105" t="n"/>
      <c r="U356" s="105" t="n"/>
      <c r="V356" s="105" t="n"/>
      <c r="W356" s="105" t="n"/>
      <c r="X356" s="105" t="n"/>
      <c r="Y356" s="105" t="n"/>
      <c r="Z356" s="105" t="n"/>
      <c r="AA356" s="105" t="n"/>
      <c r="AB356" s="22" t="n"/>
      <c r="AC356" s="105" t="n"/>
      <c r="AD356" s="22" t="n"/>
      <c r="AE356" s="105" t="n"/>
      <c r="AF356" s="22" t="n"/>
      <c r="AG356" s="105" t="n"/>
      <c r="AH356" s="105" t="n"/>
      <c r="AI356" s="105" t="n"/>
      <c r="AJ356" s="105" t="n"/>
      <c r="AK356" s="21">
        <f>IF(Q356="ANULADA","N/A",IF(ABS(AJ356)&gt;10,"Pendiente",IF(MAX(AB356,AD356,AF356)=0,"Pendiente",MAX(0,MAX(AB356,AD356,AF356)-O356))))</f>
        <v/>
      </c>
    </row>
    <row r="357" hidden="1" ht="15" customHeight="1">
      <c r="A357" s="22" t="n"/>
      <c r="B357" s="22" t="n"/>
      <c r="C357" s="22" t="n"/>
      <c r="D357" s="13" t="n"/>
      <c r="E357" s="13" t="n"/>
      <c r="F357" s="13" t="n"/>
      <c r="G357" s="13" t="n"/>
      <c r="H357" s="23" t="n"/>
      <c r="I357" s="104" t="n"/>
      <c r="J357" s="105" t="n"/>
      <c r="K357" s="105" t="n"/>
      <c r="L357" s="13" t="n"/>
      <c r="M357" s="22" t="n"/>
      <c r="N357" s="24" t="n"/>
      <c r="O357" s="106" t="n"/>
      <c r="P357" s="22" t="n"/>
      <c r="Q357" s="22" t="n"/>
      <c r="R357" s="22" t="n"/>
      <c r="S357" s="105" t="n"/>
      <c r="T357" s="105" t="n"/>
      <c r="U357" s="105" t="n"/>
      <c r="V357" s="105" t="n"/>
      <c r="W357" s="105" t="n"/>
      <c r="X357" s="105" t="n"/>
      <c r="Y357" s="105" t="n"/>
      <c r="Z357" s="105" t="n"/>
      <c r="AA357" s="105" t="n"/>
      <c r="AB357" s="22" t="n"/>
      <c r="AC357" s="105" t="n"/>
      <c r="AD357" s="22" t="n"/>
      <c r="AE357" s="105" t="n"/>
      <c r="AF357" s="22" t="n"/>
      <c r="AG357" s="105" t="n"/>
      <c r="AH357" s="105" t="n"/>
      <c r="AI357" s="105" t="n"/>
      <c r="AJ357" s="105" t="n"/>
      <c r="AK357" s="21">
        <f>IF(Q357="ANULADA","N/A",IF(ABS(AJ357)&gt;10,"Pendiente",IF(MAX(AB357,AD357,AF357)=0,"Pendiente",MAX(0,MAX(AB357,AD357,AF357)-O357))))</f>
        <v/>
      </c>
    </row>
    <row r="358" hidden="1" ht="15" customHeight="1">
      <c r="A358" s="22" t="n"/>
      <c r="B358" s="22" t="n"/>
      <c r="C358" s="22" t="n"/>
      <c r="D358" s="13" t="n"/>
      <c r="E358" s="13" t="n"/>
      <c r="F358" s="13" t="n"/>
      <c r="G358" s="13" t="n"/>
      <c r="H358" s="23" t="n"/>
      <c r="I358" s="104" t="n"/>
      <c r="J358" s="105" t="n"/>
      <c r="K358" s="105" t="n"/>
      <c r="L358" s="13" t="n"/>
      <c r="M358" s="22" t="n"/>
      <c r="N358" s="24" t="n"/>
      <c r="O358" s="106" t="n"/>
      <c r="P358" s="22" t="n"/>
      <c r="Q358" s="39" t="n"/>
      <c r="R358" s="22" t="n"/>
      <c r="S358" s="105" t="n"/>
      <c r="T358" s="105" t="n"/>
      <c r="U358" s="105" t="n"/>
      <c r="V358" s="105" t="n"/>
      <c r="W358" s="105" t="n"/>
      <c r="X358" s="105" t="n"/>
      <c r="Y358" s="105" t="n"/>
      <c r="Z358" s="105" t="n"/>
      <c r="AA358" s="105" t="n"/>
      <c r="AB358" s="22" t="n"/>
      <c r="AC358" s="105" t="n"/>
      <c r="AD358" s="22" t="n"/>
      <c r="AE358" s="105" t="n"/>
      <c r="AF358" s="22" t="n"/>
      <c r="AG358" s="105" t="n"/>
      <c r="AH358" s="105" t="n"/>
      <c r="AI358" s="105" t="n"/>
      <c r="AJ358" s="105" t="n"/>
      <c r="AK358" s="21">
        <f>IF(Q358="ANULADA","N/A",IF(ABS(AJ358)&gt;10,"Pendiente",IF(MAX(AB358,AD358,AF358)=0,"Pendiente",MAX(0,MAX(AB358,AD358,AF358)-O358))))</f>
        <v/>
      </c>
    </row>
    <row r="359" hidden="1" ht="15" customHeight="1">
      <c r="A359" s="22" t="n"/>
      <c r="B359" s="22" t="n"/>
      <c r="C359" s="22" t="n"/>
      <c r="D359" s="13" t="n"/>
      <c r="E359" s="13" t="n"/>
      <c r="F359" s="13" t="n"/>
      <c r="G359" s="13" t="n"/>
      <c r="H359" s="23" t="n"/>
      <c r="I359" s="104" t="n"/>
      <c r="J359" s="105" t="n"/>
      <c r="K359" s="105" t="n"/>
      <c r="L359" s="13" t="n"/>
      <c r="M359" s="22" t="n"/>
      <c r="N359" s="24" t="n"/>
      <c r="O359" s="106" t="n"/>
      <c r="P359" s="22" t="n"/>
      <c r="Q359" s="39" t="n"/>
      <c r="R359" s="22" t="n"/>
      <c r="S359" s="105" t="n"/>
      <c r="T359" s="105" t="n"/>
      <c r="U359" s="105" t="n"/>
      <c r="V359" s="105" t="n"/>
      <c r="W359" s="105" t="n"/>
      <c r="X359" s="105" t="n"/>
      <c r="Y359" s="105" t="n"/>
      <c r="Z359" s="105" t="n"/>
      <c r="AA359" s="105" t="n"/>
      <c r="AB359" s="22" t="n"/>
      <c r="AC359" s="105" t="n"/>
      <c r="AD359" s="22" t="n"/>
      <c r="AE359" s="105" t="n"/>
      <c r="AF359" s="22" t="n"/>
      <c r="AG359" s="105" t="n"/>
      <c r="AH359" s="105" t="n"/>
      <c r="AI359" s="105" t="n"/>
      <c r="AJ359" s="105" t="n"/>
      <c r="AK359" s="21">
        <f>IF(Q359="ANULADA","N/A",IF(ABS(AJ359)&gt;10,"Pendiente",IF(MAX(AB359,AD359,AF359)=0,"Pendiente",MAX(0,MAX(AB359,AD359,AF359)-O359))))</f>
        <v/>
      </c>
    </row>
    <row r="360" hidden="1" ht="15" customHeight="1">
      <c r="A360" s="22" t="n"/>
      <c r="B360" s="22" t="n"/>
      <c r="C360" s="22" t="n"/>
      <c r="D360" s="13" t="n"/>
      <c r="E360" s="13" t="n"/>
      <c r="F360" s="13" t="n"/>
      <c r="G360" s="13" t="n"/>
      <c r="H360" s="23" t="n"/>
      <c r="I360" s="104" t="n"/>
      <c r="J360" s="105" t="n"/>
      <c r="K360" s="105" t="n"/>
      <c r="L360" s="13" t="n"/>
      <c r="M360" s="22" t="n"/>
      <c r="N360" s="24" t="n"/>
      <c r="O360" s="106" t="n"/>
      <c r="P360" s="22" t="n"/>
      <c r="Q360" s="22" t="n"/>
      <c r="R360" s="22" t="n"/>
      <c r="S360" s="105" t="n"/>
      <c r="T360" s="105" t="n"/>
      <c r="U360" s="105" t="n"/>
      <c r="V360" s="105" t="n"/>
      <c r="W360" s="105" t="n"/>
      <c r="X360" s="105" t="n"/>
      <c r="Y360" s="105" t="n"/>
      <c r="Z360" s="105" t="n"/>
      <c r="AA360" s="105" t="n"/>
      <c r="AB360" s="22" t="n"/>
      <c r="AC360" s="105" t="n"/>
      <c r="AD360" s="22" t="n"/>
      <c r="AE360" s="105" t="n"/>
      <c r="AF360" s="22" t="n"/>
      <c r="AG360" s="105" t="n"/>
      <c r="AH360" s="105" t="n"/>
      <c r="AI360" s="105" t="n"/>
      <c r="AJ360" s="105" t="n"/>
      <c r="AK360" s="21">
        <f>IF(Q360="ANULADA","N/A",IF(ABS(AJ360)&gt;10,"Pendiente",IF(MAX(AB360,AD360,AF360)=0,"Pendiente",MAX(0,MAX(AB360,AD360,AF360)-O360))))</f>
        <v/>
      </c>
    </row>
    <row r="361" hidden="1" ht="15" customHeight="1">
      <c r="A361" s="22" t="n"/>
      <c r="B361" s="22" t="n"/>
      <c r="C361" s="22" t="n"/>
      <c r="D361" s="13" t="n"/>
      <c r="E361" s="13" t="n"/>
      <c r="F361" s="13" t="n"/>
      <c r="G361" s="13" t="n"/>
      <c r="H361" s="23" t="n"/>
      <c r="I361" s="104" t="n"/>
      <c r="J361" s="105" t="n"/>
      <c r="K361" s="105" t="n"/>
      <c r="L361" s="13" t="n"/>
      <c r="M361" s="22" t="n"/>
      <c r="N361" s="24" t="n"/>
      <c r="O361" s="106" t="n"/>
      <c r="P361" s="22" t="n"/>
      <c r="Q361" s="22" t="n"/>
      <c r="R361" s="22" t="n"/>
      <c r="S361" s="105" t="n"/>
      <c r="T361" s="105" t="n"/>
      <c r="U361" s="105" t="n"/>
      <c r="V361" s="105" t="n"/>
      <c r="W361" s="105" t="n"/>
      <c r="X361" s="105" t="n"/>
      <c r="Y361" s="105" t="n"/>
      <c r="Z361" s="105" t="n"/>
      <c r="AA361" s="105" t="n"/>
      <c r="AB361" s="22" t="n"/>
      <c r="AC361" s="105" t="n"/>
      <c r="AD361" s="22" t="n"/>
      <c r="AE361" s="105" t="n"/>
      <c r="AF361" s="22" t="n"/>
      <c r="AG361" s="105" t="n"/>
      <c r="AH361" s="105" t="n"/>
      <c r="AI361" s="105" t="n"/>
      <c r="AJ361" s="105" t="n"/>
      <c r="AK361" s="21">
        <f>IF(Q361="ANULADA","N/A",IF(ABS(AJ361)&gt;10,"Pendiente",IF(MAX(AB361,AD361,AF361)=0,"Pendiente",MAX(0,MAX(AB361,AD361,AF361)-O361))))</f>
        <v/>
      </c>
    </row>
    <row r="362" hidden="1" ht="15" customHeight="1">
      <c r="A362" s="22" t="n"/>
      <c r="B362" s="22" t="n"/>
      <c r="C362" s="22" t="n"/>
      <c r="D362" s="13" t="n"/>
      <c r="E362" s="13" t="n"/>
      <c r="F362" s="13" t="n"/>
      <c r="G362" s="13" t="n"/>
      <c r="H362" s="23" t="n"/>
      <c r="I362" s="104" t="n"/>
      <c r="J362" s="105" t="n"/>
      <c r="K362" s="105" t="n"/>
      <c r="L362" s="13" t="n"/>
      <c r="M362" s="22" t="n"/>
      <c r="N362" s="24" t="n"/>
      <c r="O362" s="106" t="n"/>
      <c r="P362" s="22" t="n"/>
      <c r="Q362" s="22" t="n"/>
      <c r="R362" s="22" t="n"/>
      <c r="S362" s="105" t="n"/>
      <c r="T362" s="105" t="n"/>
      <c r="U362" s="105" t="n"/>
      <c r="V362" s="105" t="n"/>
      <c r="W362" s="105" t="n"/>
      <c r="X362" s="105" t="n"/>
      <c r="Y362" s="105" t="n"/>
      <c r="Z362" s="105" t="n"/>
      <c r="AA362" s="105" t="n"/>
      <c r="AB362" s="22" t="n"/>
      <c r="AC362" s="105" t="n"/>
      <c r="AD362" s="22" t="n"/>
      <c r="AE362" s="105" t="n"/>
      <c r="AF362" s="22" t="n"/>
      <c r="AG362" s="105" t="n"/>
      <c r="AH362" s="105" t="n"/>
      <c r="AI362" s="105" t="n"/>
      <c r="AJ362" s="105" t="n"/>
      <c r="AK362" s="21">
        <f>IF(Q362="ANULADA","N/A",IF(ABS(AJ362)&gt;10,"Pendiente",IF(MAX(AB362,AD362,AF362)=0,"Pendiente",MAX(0,MAX(AB362,AD362,AF362)-O362))))</f>
        <v/>
      </c>
    </row>
    <row r="363" hidden="1" ht="15" customHeight="1">
      <c r="A363" s="22" t="n"/>
      <c r="B363" s="22" t="n"/>
      <c r="C363" s="22" t="n"/>
      <c r="D363" s="13" t="n"/>
      <c r="E363" s="13" t="n"/>
      <c r="F363" s="13" t="n"/>
      <c r="G363" s="13" t="n"/>
      <c r="H363" s="23" t="n"/>
      <c r="I363" s="104" t="n"/>
      <c r="J363" s="105" t="n"/>
      <c r="K363" s="105" t="n"/>
      <c r="L363" s="13" t="n"/>
      <c r="M363" s="22" t="n"/>
      <c r="N363" s="24" t="n"/>
      <c r="O363" s="106" t="n"/>
      <c r="P363" s="22" t="n"/>
      <c r="Q363" s="39" t="n"/>
      <c r="R363" s="22" t="n"/>
      <c r="S363" s="105" t="n"/>
      <c r="T363" s="105" t="n"/>
      <c r="U363" s="105" t="n"/>
      <c r="V363" s="105" t="n"/>
      <c r="W363" s="105" t="n"/>
      <c r="X363" s="105" t="n"/>
      <c r="Y363" s="105" t="n"/>
      <c r="Z363" s="105" t="n"/>
      <c r="AA363" s="105" t="n"/>
      <c r="AB363" s="22" t="n"/>
      <c r="AC363" s="105" t="n"/>
      <c r="AD363" s="22" t="n"/>
      <c r="AE363" s="105" t="n"/>
      <c r="AF363" s="22" t="n"/>
      <c r="AG363" s="105" t="n"/>
      <c r="AH363" s="105" t="n"/>
      <c r="AI363" s="105" t="n"/>
      <c r="AJ363" s="105" t="n"/>
      <c r="AK363" s="21">
        <f>IF(Q363="ANULADA","N/A",IF(ABS(AJ363)&gt;10,"Pendiente",IF(MAX(AB363,AD363,AF363)=0,"Pendiente",MAX(0,MAX(AB363,AD363,AF363)-O363))))</f>
        <v/>
      </c>
    </row>
    <row r="364" hidden="1" ht="15" customHeight="1">
      <c r="A364" s="22" t="n"/>
      <c r="B364" s="22" t="n"/>
      <c r="C364" s="22" t="n"/>
      <c r="D364" s="13" t="n"/>
      <c r="E364" s="13" t="n"/>
      <c r="F364" s="13" t="n"/>
      <c r="G364" s="13" t="n"/>
      <c r="H364" s="23" t="n"/>
      <c r="I364" s="104" t="n"/>
      <c r="J364" s="105" t="n"/>
      <c r="K364" s="105" t="n"/>
      <c r="L364" s="13" t="n"/>
      <c r="M364" s="22" t="n"/>
      <c r="N364" s="24" t="n"/>
      <c r="O364" s="106" t="n"/>
      <c r="P364" s="22" t="n"/>
      <c r="Q364" s="22" t="n"/>
      <c r="R364" s="22" t="n"/>
      <c r="S364" s="105" t="n"/>
      <c r="T364" s="105" t="n"/>
      <c r="U364" s="105" t="n"/>
      <c r="V364" s="105" t="n"/>
      <c r="W364" s="105" t="n"/>
      <c r="X364" s="105" t="n"/>
      <c r="Y364" s="105" t="n"/>
      <c r="Z364" s="105" t="n"/>
      <c r="AA364" s="105" t="n"/>
      <c r="AB364" s="22" t="n"/>
      <c r="AC364" s="105" t="n"/>
      <c r="AD364" s="22" t="n"/>
      <c r="AE364" s="105" t="n"/>
      <c r="AF364" s="22" t="n"/>
      <c r="AG364" s="105" t="n"/>
      <c r="AH364" s="105" t="n"/>
      <c r="AI364" s="105" t="n"/>
      <c r="AJ364" s="105" t="n"/>
      <c r="AK364" s="21">
        <f>IF(Q364="ANULADA","N/A",IF(ABS(AJ364)&gt;10,"Pendiente",IF(MAX(AB364,AD364,AF364)=0,"Pendiente",MAX(0,MAX(AB364,AD364,AF364)-O364))))</f>
        <v/>
      </c>
    </row>
    <row r="365" hidden="1" ht="15" customHeight="1">
      <c r="A365" s="22" t="n"/>
      <c r="B365" s="22" t="n"/>
      <c r="C365" s="22" t="n"/>
      <c r="D365" s="13" t="n"/>
      <c r="E365" s="13" t="n"/>
      <c r="F365" s="13" t="n"/>
      <c r="G365" s="13" t="n"/>
      <c r="H365" s="23" t="n"/>
      <c r="I365" s="104" t="n"/>
      <c r="J365" s="105" t="n"/>
      <c r="K365" s="105" t="n"/>
      <c r="L365" s="13" t="n"/>
      <c r="M365" s="22" t="n"/>
      <c r="N365" s="24" t="n"/>
      <c r="O365" s="106" t="n"/>
      <c r="P365" s="22" t="n"/>
      <c r="Q365" s="39" t="n"/>
      <c r="R365" s="22" t="n"/>
      <c r="S365" s="105" t="n"/>
      <c r="T365" s="105" t="n"/>
      <c r="U365" s="105" t="n"/>
      <c r="V365" s="105" t="n"/>
      <c r="W365" s="105" t="n"/>
      <c r="X365" s="105" t="n"/>
      <c r="Y365" s="105" t="n"/>
      <c r="Z365" s="105" t="n"/>
      <c r="AA365" s="105" t="n"/>
      <c r="AB365" s="22" t="n"/>
      <c r="AC365" s="105" t="n"/>
      <c r="AD365" s="22" t="n"/>
      <c r="AE365" s="105" t="n"/>
      <c r="AF365" s="22" t="n"/>
      <c r="AG365" s="105" t="n"/>
      <c r="AH365" s="105" t="n"/>
      <c r="AI365" s="105" t="n"/>
      <c r="AJ365" s="105" t="n"/>
      <c r="AK365" s="21">
        <f>IF(Q365="ANULADA","N/A",IF(ABS(AJ365)&gt;10,"Pendiente",IF(MAX(AB365,AD365,AF365)=0,"Pendiente",MAX(0,MAX(AB365,AD365,AF365)-O365))))</f>
        <v/>
      </c>
    </row>
    <row r="366" hidden="1" ht="15" customHeight="1">
      <c r="A366" s="22" t="n"/>
      <c r="B366" s="22" t="n"/>
      <c r="C366" s="22" t="n"/>
      <c r="D366" s="13" t="n"/>
      <c r="E366" s="13" t="n"/>
      <c r="F366" s="13" t="n"/>
      <c r="G366" s="13" t="n"/>
      <c r="H366" s="23" t="n"/>
      <c r="I366" s="104" t="n"/>
      <c r="J366" s="105" t="n"/>
      <c r="K366" s="105" t="n"/>
      <c r="L366" s="13" t="n"/>
      <c r="M366" s="22" t="n"/>
      <c r="N366" s="24" t="n"/>
      <c r="O366" s="106" t="n"/>
      <c r="P366" s="22" t="n"/>
      <c r="Q366" s="39" t="n"/>
      <c r="R366" s="22" t="n"/>
      <c r="S366" s="105" t="n"/>
      <c r="T366" s="105" t="n"/>
      <c r="U366" s="105" t="n"/>
      <c r="V366" s="105" t="n"/>
      <c r="W366" s="105" t="n"/>
      <c r="X366" s="105" t="n"/>
      <c r="Y366" s="105" t="n"/>
      <c r="Z366" s="105" t="n"/>
      <c r="AA366" s="105" t="n"/>
      <c r="AB366" s="22" t="n"/>
      <c r="AC366" s="105" t="n"/>
      <c r="AD366" s="22" t="n"/>
      <c r="AE366" s="105" t="n"/>
      <c r="AF366" s="22" t="n"/>
      <c r="AG366" s="105" t="n"/>
      <c r="AH366" s="105" t="n"/>
      <c r="AI366" s="105" t="n"/>
      <c r="AJ366" s="105" t="n"/>
      <c r="AK366" s="21">
        <f>IF(Q366="ANULADA","N/A",IF(ABS(AJ366)&gt;10,"Pendiente",IF(MAX(AB366,AD366,AF366)=0,"Pendiente",MAX(0,MAX(AB366,AD366,AF366)-O366))))</f>
        <v/>
      </c>
    </row>
    <row r="367" hidden="1" ht="15" customHeight="1">
      <c r="A367" s="22" t="n"/>
      <c r="B367" s="22" t="n"/>
      <c r="C367" s="22" t="n"/>
      <c r="D367" s="13" t="n"/>
      <c r="E367" s="13" t="n"/>
      <c r="F367" s="13" t="n"/>
      <c r="G367" s="13" t="n"/>
      <c r="H367" s="23" t="n"/>
      <c r="I367" s="104" t="n"/>
      <c r="J367" s="105" t="n"/>
      <c r="K367" s="105" t="n"/>
      <c r="L367" s="13" t="n"/>
      <c r="M367" s="22" t="n"/>
      <c r="N367" s="24" t="n"/>
      <c r="O367" s="106" t="n"/>
      <c r="P367" s="22" t="n"/>
      <c r="Q367" s="22" t="n"/>
      <c r="R367" s="22" t="n"/>
      <c r="S367" s="105" t="n"/>
      <c r="T367" s="105" t="n"/>
      <c r="U367" s="105" t="n"/>
      <c r="V367" s="105" t="n"/>
      <c r="W367" s="105" t="n"/>
      <c r="X367" s="105" t="n"/>
      <c r="Y367" s="105" t="n"/>
      <c r="Z367" s="105" t="n"/>
      <c r="AA367" s="105" t="n"/>
      <c r="AB367" s="22" t="n"/>
      <c r="AC367" s="105" t="n"/>
      <c r="AD367" s="22" t="n"/>
      <c r="AE367" s="105" t="n"/>
      <c r="AF367" s="22" t="n"/>
      <c r="AG367" s="105" t="n"/>
      <c r="AH367" s="105" t="n"/>
      <c r="AI367" s="105" t="n"/>
      <c r="AJ367" s="105" t="n"/>
      <c r="AK367" s="21">
        <f>IF(Q367="ANULADA","N/A",IF(ABS(AJ367)&gt;10,"Pendiente",IF(MAX(AB367,AD367,AF367)=0,"Pendiente",MAX(0,MAX(AB367,AD367,AF367)-O367))))</f>
        <v/>
      </c>
    </row>
    <row r="368" hidden="1" ht="15" customHeight="1">
      <c r="A368" s="22" t="n"/>
      <c r="B368" s="22" t="n"/>
      <c r="C368" s="22" t="n"/>
      <c r="D368" s="13" t="n"/>
      <c r="E368" s="13" t="n"/>
      <c r="F368" s="13" t="n"/>
      <c r="G368" s="13" t="n"/>
      <c r="H368" s="23" t="n"/>
      <c r="I368" s="104" t="n"/>
      <c r="J368" s="105" t="n"/>
      <c r="K368" s="105" t="n"/>
      <c r="L368" s="13" t="n"/>
      <c r="M368" s="22" t="n"/>
      <c r="N368" s="24" t="n"/>
      <c r="O368" s="106" t="n"/>
      <c r="P368" s="22" t="n"/>
      <c r="Q368" s="22" t="n"/>
      <c r="R368" s="22" t="n"/>
      <c r="S368" s="105" t="n"/>
      <c r="T368" s="105" t="n"/>
      <c r="U368" s="105" t="n"/>
      <c r="V368" s="105" t="n"/>
      <c r="W368" s="105" t="n"/>
      <c r="X368" s="105" t="n"/>
      <c r="Y368" s="105" t="n"/>
      <c r="Z368" s="105" t="n"/>
      <c r="AA368" s="105" t="n"/>
      <c r="AB368" s="22" t="n"/>
      <c r="AC368" s="105" t="n"/>
      <c r="AD368" s="22" t="n"/>
      <c r="AE368" s="105" t="n"/>
      <c r="AF368" s="22" t="n"/>
      <c r="AG368" s="105" t="n"/>
      <c r="AH368" s="105" t="n"/>
      <c r="AI368" s="105" t="n"/>
      <c r="AJ368" s="105" t="n"/>
      <c r="AK368" s="21">
        <f>IF(Q368="ANULADA","N/A",IF(ABS(AJ368)&gt;10,"Pendiente",IF(MAX(AB368,AD368,AF368)=0,"Pendiente",MAX(0,MAX(AB368,AD368,AF368)-O368))))</f>
        <v/>
      </c>
    </row>
    <row r="369" hidden="1" ht="15" customHeight="1">
      <c r="A369" s="22" t="n"/>
      <c r="B369" s="22" t="n"/>
      <c r="C369" s="22" t="n"/>
      <c r="D369" s="13" t="n"/>
      <c r="E369" s="13" t="n"/>
      <c r="F369" s="13" t="n"/>
      <c r="G369" s="13" t="n"/>
      <c r="H369" s="23" t="n"/>
      <c r="I369" s="104" t="n"/>
      <c r="J369" s="105" t="n"/>
      <c r="K369" s="105" t="n"/>
      <c r="L369" s="13" t="n"/>
      <c r="M369" s="22" t="n"/>
      <c r="N369" s="24" t="n"/>
      <c r="O369" s="106" t="n"/>
      <c r="P369" s="22" t="n"/>
      <c r="Q369" s="22" t="n"/>
      <c r="R369" s="22" t="n"/>
      <c r="S369" s="105" t="n"/>
      <c r="T369" s="105" t="n"/>
      <c r="U369" s="105" t="n"/>
      <c r="V369" s="105" t="n"/>
      <c r="W369" s="105" t="n"/>
      <c r="X369" s="105" t="n"/>
      <c r="Y369" s="105" t="n"/>
      <c r="Z369" s="105" t="n"/>
      <c r="AA369" s="105" t="n"/>
      <c r="AB369" s="22" t="n"/>
      <c r="AC369" s="105" t="n"/>
      <c r="AD369" s="22" t="n"/>
      <c r="AE369" s="105" t="n"/>
      <c r="AF369" s="22" t="n"/>
      <c r="AG369" s="105" t="n"/>
      <c r="AH369" s="105" t="n"/>
      <c r="AI369" s="105" t="n"/>
      <c r="AJ369" s="105" t="n"/>
      <c r="AK369" s="21">
        <f>IF(Q369="ANULADA","N/A",IF(ABS(AJ369)&gt;10,"Pendiente",IF(MAX(AB369,AD369,AF369)=0,"Pendiente",MAX(0,MAX(AB369,AD369,AF369)-O369))))</f>
        <v/>
      </c>
    </row>
    <row r="370" hidden="1" ht="15" customHeight="1">
      <c r="A370" s="22" t="n"/>
      <c r="B370" s="22" t="n"/>
      <c r="C370" s="22" t="n"/>
      <c r="D370" s="13" t="n"/>
      <c r="E370" s="13" t="n"/>
      <c r="F370" s="13" t="n"/>
      <c r="G370" s="13" t="n"/>
      <c r="H370" s="23" t="n"/>
      <c r="I370" s="104" t="n"/>
      <c r="J370" s="105" t="n"/>
      <c r="K370" s="105" t="n"/>
      <c r="L370" s="13" t="n"/>
      <c r="M370" s="22" t="n"/>
      <c r="N370" s="24" t="n"/>
      <c r="O370" s="106" t="n"/>
      <c r="P370" s="22" t="n"/>
      <c r="Q370" s="39" t="n"/>
      <c r="R370" s="22" t="n"/>
      <c r="S370" s="105" t="n"/>
      <c r="T370" s="105" t="n"/>
      <c r="U370" s="105" t="n"/>
      <c r="V370" s="105" t="n"/>
      <c r="W370" s="105" t="n"/>
      <c r="X370" s="105" t="n"/>
      <c r="Y370" s="105" t="n"/>
      <c r="Z370" s="105" t="n"/>
      <c r="AA370" s="105" t="n"/>
      <c r="AB370" s="22" t="n"/>
      <c r="AC370" s="105" t="n"/>
      <c r="AD370" s="22" t="n"/>
      <c r="AE370" s="105" t="n"/>
      <c r="AF370" s="22" t="n"/>
      <c r="AG370" s="105" t="n"/>
      <c r="AH370" s="105" t="n"/>
      <c r="AI370" s="105" t="n"/>
      <c r="AJ370" s="105" t="n"/>
      <c r="AK370" s="21">
        <f>IF(Q370="ANULADA","N/A",IF(ABS(AJ370)&gt;10,"Pendiente",IF(MAX(AB370,AD370,AF370)=0,"Pendiente",MAX(0,MAX(AB370,AD370,AF370)-O370))))</f>
        <v/>
      </c>
    </row>
    <row r="371" hidden="1" ht="15" customHeight="1">
      <c r="A371" s="22" t="n"/>
      <c r="B371" s="22" t="n"/>
      <c r="C371" s="22" t="n"/>
      <c r="D371" s="13" t="n"/>
      <c r="E371" s="13" t="n"/>
      <c r="F371" s="13" t="n"/>
      <c r="G371" s="13" t="n"/>
      <c r="H371" s="23" t="n"/>
      <c r="I371" s="104" t="n"/>
      <c r="J371" s="105" t="n"/>
      <c r="K371" s="105" t="n"/>
      <c r="L371" s="13" t="n"/>
      <c r="M371" s="22" t="n"/>
      <c r="N371" s="24" t="n"/>
      <c r="O371" s="106" t="n"/>
      <c r="P371" s="22" t="n"/>
      <c r="Q371" s="22" t="n"/>
      <c r="R371" s="22" t="n"/>
      <c r="S371" s="105" t="n"/>
      <c r="T371" s="105" t="n"/>
      <c r="U371" s="105" t="n"/>
      <c r="V371" s="105" t="n"/>
      <c r="W371" s="105" t="n"/>
      <c r="X371" s="105" t="n"/>
      <c r="Y371" s="105" t="n"/>
      <c r="Z371" s="105" t="n"/>
      <c r="AA371" s="105" t="n"/>
      <c r="AB371" s="22" t="n"/>
      <c r="AC371" s="105" t="n"/>
      <c r="AD371" s="22" t="n"/>
      <c r="AE371" s="105" t="n"/>
      <c r="AF371" s="22" t="n"/>
      <c r="AG371" s="105" t="n"/>
      <c r="AH371" s="105" t="n"/>
      <c r="AI371" s="105" t="n"/>
      <c r="AJ371" s="105" t="n"/>
      <c r="AK371" s="21">
        <f>IF(Q371="ANULADA","N/A",IF(ABS(AJ371)&gt;10,"Pendiente",IF(MAX(AB371,AD371,AF371)=0,"Pendiente",MAX(0,MAX(AB371,AD371,AF371)-O371))))</f>
        <v/>
      </c>
    </row>
    <row r="372" hidden="1" ht="15" customHeight="1">
      <c r="A372" s="22" t="n"/>
      <c r="B372" s="22" t="n"/>
      <c r="C372" s="22" t="n"/>
      <c r="D372" s="13" t="n"/>
      <c r="E372" s="13" t="n"/>
      <c r="F372" s="13" t="n"/>
      <c r="G372" s="13" t="n"/>
      <c r="H372" s="23" t="n"/>
      <c r="I372" s="104" t="n"/>
      <c r="J372" s="105" t="n"/>
      <c r="K372" s="105" t="n"/>
      <c r="L372" s="13" t="n"/>
      <c r="M372" s="22" t="n"/>
      <c r="N372" s="24" t="n"/>
      <c r="O372" s="106" t="n"/>
      <c r="P372" s="22" t="n"/>
      <c r="Q372" s="39" t="n"/>
      <c r="R372" s="22" t="n"/>
      <c r="S372" s="105" t="n"/>
      <c r="T372" s="105" t="n"/>
      <c r="U372" s="105" t="n"/>
      <c r="V372" s="105" t="n"/>
      <c r="W372" s="105" t="n"/>
      <c r="X372" s="105" t="n"/>
      <c r="Y372" s="105" t="n"/>
      <c r="Z372" s="105" t="n"/>
      <c r="AA372" s="105" t="n"/>
      <c r="AB372" s="22" t="n"/>
      <c r="AC372" s="105" t="n"/>
      <c r="AD372" s="22" t="n"/>
      <c r="AE372" s="105" t="n"/>
      <c r="AF372" s="22" t="n"/>
      <c r="AG372" s="105" t="n"/>
      <c r="AH372" s="105" t="n"/>
      <c r="AI372" s="105" t="n"/>
      <c r="AJ372" s="105" t="n"/>
      <c r="AK372" s="21">
        <f>IF(Q372="ANULADA","N/A",IF(ABS(AJ372)&gt;10,"Pendiente",IF(MAX(AB372,AD372,AF372)=0,"Pendiente",MAX(0,MAX(AB372,AD372,AF372)-O372))))</f>
        <v/>
      </c>
    </row>
    <row r="373" hidden="1" ht="15" customHeight="1">
      <c r="A373" s="22" t="n"/>
      <c r="B373" s="22" t="n"/>
      <c r="C373" s="22" t="n"/>
      <c r="D373" s="13" t="n"/>
      <c r="E373" s="13" t="n"/>
      <c r="F373" s="13" t="n"/>
      <c r="G373" s="13" t="n"/>
      <c r="H373" s="23" t="n"/>
      <c r="I373" s="104" t="n"/>
      <c r="J373" s="105" t="n"/>
      <c r="K373" s="105" t="n"/>
      <c r="L373" s="13" t="n"/>
      <c r="M373" s="22" t="n"/>
      <c r="N373" s="24" t="n"/>
      <c r="O373" s="106" t="n"/>
      <c r="P373" s="22" t="n"/>
      <c r="Q373" s="39" t="n"/>
      <c r="R373" s="22" t="n"/>
      <c r="S373" s="105" t="n"/>
      <c r="T373" s="105" t="n"/>
      <c r="U373" s="105" t="n"/>
      <c r="V373" s="105" t="n"/>
      <c r="W373" s="105" t="n"/>
      <c r="X373" s="105" t="n"/>
      <c r="Y373" s="105" t="n"/>
      <c r="Z373" s="105" t="n"/>
      <c r="AA373" s="105" t="n"/>
      <c r="AB373" s="22" t="n"/>
      <c r="AC373" s="105" t="n"/>
      <c r="AD373" s="22" t="n"/>
      <c r="AE373" s="105" t="n"/>
      <c r="AF373" s="22" t="n"/>
      <c r="AG373" s="105" t="n"/>
      <c r="AH373" s="105" t="n"/>
      <c r="AI373" s="105" t="n"/>
      <c r="AJ373" s="105" t="n"/>
      <c r="AK373" s="21">
        <f>IF(Q373="ANULADA","N/A",IF(ABS(AJ373)&gt;10,"Pendiente",IF(MAX(AB373,AD373,AF373)=0,"Pendiente",MAX(0,MAX(AB373,AD373,AF373)-O373))))</f>
        <v/>
      </c>
    </row>
    <row r="374" hidden="1" ht="15" customHeight="1">
      <c r="A374" s="22" t="n"/>
      <c r="B374" s="22" t="n"/>
      <c r="C374" s="22" t="n"/>
      <c r="D374" s="13" t="n"/>
      <c r="E374" s="13" t="n"/>
      <c r="F374" s="13" t="n"/>
      <c r="G374" s="13" t="n"/>
      <c r="H374" s="23" t="n"/>
      <c r="I374" s="104" t="n"/>
      <c r="J374" s="105" t="n"/>
      <c r="K374" s="105" t="n"/>
      <c r="L374" s="13" t="n"/>
      <c r="M374" s="22" t="n"/>
      <c r="N374" s="24" t="n"/>
      <c r="O374" s="106" t="n"/>
      <c r="P374" s="22" t="n"/>
      <c r="Q374" s="22" t="n"/>
      <c r="R374" s="22" t="n"/>
      <c r="S374" s="105" t="n"/>
      <c r="T374" s="105" t="n"/>
      <c r="U374" s="105" t="n"/>
      <c r="V374" s="105" t="n"/>
      <c r="W374" s="105" t="n"/>
      <c r="X374" s="105" t="n"/>
      <c r="Y374" s="105" t="n"/>
      <c r="Z374" s="105" t="n"/>
      <c r="AA374" s="105" t="n"/>
      <c r="AB374" s="22" t="n"/>
      <c r="AC374" s="105" t="n"/>
      <c r="AD374" s="22" t="n"/>
      <c r="AE374" s="105" t="n"/>
      <c r="AF374" s="22" t="n"/>
      <c r="AG374" s="105" t="n"/>
      <c r="AH374" s="105" t="n"/>
      <c r="AI374" s="105" t="n"/>
      <c r="AJ374" s="105" t="n"/>
      <c r="AK374" s="21">
        <f>IF(Q374="ANULADA","N/A",IF(ABS(AJ374)&gt;10,"Pendiente",IF(MAX(AB374,AD374,AF374)=0,"Pendiente",MAX(0,MAX(AB374,AD374,AF374)-O374))))</f>
        <v/>
      </c>
    </row>
    <row r="375" hidden="1" ht="15" customHeight="1">
      <c r="A375" s="22" t="n"/>
      <c r="B375" s="22" t="n"/>
      <c r="C375" s="22" t="n"/>
      <c r="D375" s="13" t="n"/>
      <c r="E375" s="13" t="n"/>
      <c r="F375" s="13" t="n"/>
      <c r="G375" s="13" t="n"/>
      <c r="H375" s="23" t="n"/>
      <c r="I375" s="104" t="n"/>
      <c r="J375" s="105" t="n"/>
      <c r="K375" s="105" t="n"/>
      <c r="L375" s="13" t="n"/>
      <c r="M375" s="22" t="n"/>
      <c r="N375" s="24" t="n"/>
      <c r="O375" s="106" t="n"/>
      <c r="P375" s="22" t="n"/>
      <c r="Q375" s="22" t="n"/>
      <c r="R375" s="22" t="n"/>
      <c r="S375" s="105" t="n"/>
      <c r="T375" s="105" t="n"/>
      <c r="U375" s="105" t="n"/>
      <c r="V375" s="105" t="n"/>
      <c r="W375" s="105" t="n"/>
      <c r="X375" s="105" t="n"/>
      <c r="Y375" s="105" t="n"/>
      <c r="Z375" s="105" t="n"/>
      <c r="AA375" s="105" t="n"/>
      <c r="AB375" s="22" t="n"/>
      <c r="AC375" s="105" t="n"/>
      <c r="AD375" s="22" t="n"/>
      <c r="AE375" s="105" t="n"/>
      <c r="AF375" s="22" t="n"/>
      <c r="AG375" s="105" t="n"/>
      <c r="AH375" s="105" t="n"/>
      <c r="AI375" s="105" t="n"/>
      <c r="AJ375" s="105" t="n"/>
      <c r="AK375" s="21">
        <f>IF(Q375="ANULADA","N/A",IF(ABS(AJ375)&gt;10,"Pendiente",IF(MAX(AB375,AD375,AF375)=0,"Pendiente",MAX(0,MAX(AB375,AD375,AF375)-O375))))</f>
        <v/>
      </c>
    </row>
    <row r="376" hidden="1" ht="15" customHeight="1">
      <c r="A376" s="22" t="n"/>
      <c r="B376" s="22" t="n"/>
      <c r="C376" s="22" t="n"/>
      <c r="D376" s="13" t="n"/>
      <c r="E376" s="13" t="n"/>
      <c r="F376" s="13" t="n"/>
      <c r="G376" s="13" t="n"/>
      <c r="H376" s="23" t="n"/>
      <c r="I376" s="104" t="n"/>
      <c r="J376" s="105" t="n"/>
      <c r="K376" s="105" t="n"/>
      <c r="L376" s="13" t="n"/>
      <c r="M376" s="22" t="n"/>
      <c r="N376" s="24" t="n"/>
      <c r="O376" s="106" t="n"/>
      <c r="P376" s="22" t="n"/>
      <c r="Q376" s="22" t="n"/>
      <c r="R376" s="22" t="n"/>
      <c r="S376" s="105" t="n"/>
      <c r="T376" s="105" t="n"/>
      <c r="U376" s="105" t="n"/>
      <c r="V376" s="105" t="n"/>
      <c r="W376" s="105" t="n"/>
      <c r="X376" s="105" t="n"/>
      <c r="Y376" s="105" t="n"/>
      <c r="Z376" s="105" t="n"/>
      <c r="AA376" s="105" t="n"/>
      <c r="AB376" s="22" t="n"/>
      <c r="AC376" s="105" t="n"/>
      <c r="AD376" s="22" t="n"/>
      <c r="AE376" s="105" t="n"/>
      <c r="AF376" s="22" t="n"/>
      <c r="AG376" s="105" t="n"/>
      <c r="AH376" s="105" t="n"/>
      <c r="AI376" s="105" t="n"/>
      <c r="AJ376" s="105" t="n"/>
      <c r="AK376" s="21">
        <f>IF(Q376="ANULADA","N/A",IF(ABS(AJ376)&gt;10,"Pendiente",IF(MAX(AB376,AD376,AF376)=0,"Pendiente",MAX(0,MAX(AB376,AD376,AF376)-O376))))</f>
        <v/>
      </c>
    </row>
    <row r="377" hidden="1" ht="15" customHeight="1">
      <c r="A377" s="22" t="n"/>
      <c r="B377" s="22" t="n"/>
      <c r="C377" s="22" t="n"/>
      <c r="D377" s="13" t="n"/>
      <c r="E377" s="13" t="n"/>
      <c r="F377" s="13" t="n"/>
      <c r="G377" s="13" t="n"/>
      <c r="H377" s="23" t="n"/>
      <c r="I377" s="104" t="n"/>
      <c r="J377" s="105" t="n"/>
      <c r="K377" s="105" t="n"/>
      <c r="L377" s="13" t="n"/>
      <c r="M377" s="22" t="n"/>
      <c r="N377" s="24" t="n"/>
      <c r="O377" s="106" t="n"/>
      <c r="P377" s="22" t="n"/>
      <c r="Q377" s="39" t="n"/>
      <c r="R377" s="22" t="n"/>
      <c r="S377" s="105" t="n"/>
      <c r="T377" s="105" t="n"/>
      <c r="U377" s="105" t="n"/>
      <c r="V377" s="105" t="n"/>
      <c r="W377" s="105" t="n"/>
      <c r="X377" s="105" t="n"/>
      <c r="Y377" s="105" t="n"/>
      <c r="Z377" s="105" t="n"/>
      <c r="AA377" s="105" t="n"/>
      <c r="AB377" s="22" t="n"/>
      <c r="AC377" s="105" t="n"/>
      <c r="AD377" s="22" t="n"/>
      <c r="AE377" s="105" t="n"/>
      <c r="AF377" s="22" t="n"/>
      <c r="AG377" s="105" t="n"/>
      <c r="AH377" s="105" t="n"/>
      <c r="AI377" s="105" t="n"/>
      <c r="AJ377" s="105" t="n"/>
      <c r="AK377" s="21">
        <f>IF(Q377="ANULADA","N/A",IF(ABS(AJ377)&gt;10,"Pendiente",IF(MAX(AB377,AD377,AF377)=0,"Pendiente",MAX(0,MAX(AB377,AD377,AF377)-O377))))</f>
        <v/>
      </c>
    </row>
    <row r="378" hidden="1" ht="15" customHeight="1">
      <c r="A378" s="22" t="n"/>
      <c r="B378" s="22" t="n"/>
      <c r="C378" s="22" t="n"/>
      <c r="D378" s="13" t="n"/>
      <c r="E378" s="13" t="n"/>
      <c r="F378" s="13" t="n"/>
      <c r="G378" s="13" t="n"/>
      <c r="H378" s="23" t="n"/>
      <c r="I378" s="104" t="n"/>
      <c r="J378" s="105" t="n"/>
      <c r="K378" s="105" t="n"/>
      <c r="L378" s="13" t="n"/>
      <c r="M378" s="22" t="n"/>
      <c r="N378" s="24" t="n"/>
      <c r="O378" s="106" t="n"/>
      <c r="P378" s="22" t="n"/>
      <c r="Q378" s="22" t="n"/>
      <c r="R378" s="22" t="n"/>
      <c r="S378" s="105" t="n"/>
      <c r="T378" s="105" t="n"/>
      <c r="U378" s="105" t="n"/>
      <c r="V378" s="105" t="n"/>
      <c r="W378" s="105" t="n"/>
      <c r="X378" s="105" t="n"/>
      <c r="Y378" s="105" t="n"/>
      <c r="Z378" s="105" t="n"/>
      <c r="AA378" s="105" t="n"/>
      <c r="AB378" s="22" t="n"/>
      <c r="AC378" s="105" t="n"/>
      <c r="AD378" s="22" t="n"/>
      <c r="AE378" s="105" t="n"/>
      <c r="AF378" s="22" t="n"/>
      <c r="AG378" s="105" t="n"/>
      <c r="AH378" s="105" t="n"/>
      <c r="AI378" s="105" t="n"/>
      <c r="AJ378" s="105" t="n"/>
      <c r="AK378" s="21">
        <f>IF(Q378="ANULADA","N/A",IF(ABS(AJ378)&gt;10,"Pendiente",IF(MAX(AB378,AD378,AF378)=0,"Pendiente",MAX(0,MAX(AB378,AD378,AF378)-O378))))</f>
        <v/>
      </c>
    </row>
    <row r="379" hidden="1" ht="15" customHeight="1">
      <c r="A379" s="22" t="n"/>
      <c r="B379" s="22" t="n"/>
      <c r="C379" s="22" t="n"/>
      <c r="D379" s="13" t="n"/>
      <c r="E379" s="13" t="n"/>
      <c r="F379" s="13" t="n"/>
      <c r="G379" s="13" t="n"/>
      <c r="H379" s="23" t="n"/>
      <c r="I379" s="104" t="n"/>
      <c r="J379" s="105" t="n"/>
      <c r="K379" s="105" t="n"/>
      <c r="L379" s="13" t="n"/>
      <c r="M379" s="22" t="n"/>
      <c r="N379" s="24" t="n"/>
      <c r="O379" s="106" t="n"/>
      <c r="P379" s="22" t="n"/>
      <c r="Q379" s="39" t="n"/>
      <c r="R379" s="22" t="n"/>
      <c r="S379" s="105" t="n"/>
      <c r="T379" s="105" t="n"/>
      <c r="U379" s="105" t="n"/>
      <c r="V379" s="105" t="n"/>
      <c r="W379" s="105" t="n"/>
      <c r="X379" s="105" t="n"/>
      <c r="Y379" s="105" t="n"/>
      <c r="Z379" s="105" t="n"/>
      <c r="AA379" s="105" t="n"/>
      <c r="AB379" s="22" t="n"/>
      <c r="AC379" s="105" t="n"/>
      <c r="AD379" s="22" t="n"/>
      <c r="AE379" s="105" t="n"/>
      <c r="AF379" s="22" t="n"/>
      <c r="AG379" s="105" t="n"/>
      <c r="AH379" s="105" t="n"/>
      <c r="AI379" s="105" t="n"/>
      <c r="AJ379" s="105" t="n"/>
      <c r="AK379" s="21">
        <f>IF(Q379="ANULADA","N/A",IF(ABS(AJ379)&gt;10,"Pendiente",IF(MAX(AB379,AD379,AF379)=0,"Pendiente",MAX(0,MAX(AB379,AD379,AF379)-O379))))</f>
        <v/>
      </c>
    </row>
    <row r="380" hidden="1" ht="15" customHeight="1">
      <c r="A380" s="22" t="n"/>
      <c r="B380" s="22" t="n"/>
      <c r="C380" s="22" t="n"/>
      <c r="D380" s="13" t="n"/>
      <c r="E380" s="13" t="n"/>
      <c r="F380" s="13" t="n"/>
      <c r="G380" s="13" t="n"/>
      <c r="H380" s="23" t="n"/>
      <c r="I380" s="104" t="n"/>
      <c r="J380" s="105" t="n"/>
      <c r="K380" s="105" t="n"/>
      <c r="L380" s="13" t="n"/>
      <c r="M380" s="22" t="n"/>
      <c r="N380" s="24" t="n"/>
      <c r="O380" s="106" t="n"/>
      <c r="P380" s="22" t="n"/>
      <c r="Q380" s="39" t="n"/>
      <c r="R380" s="22" t="n"/>
      <c r="S380" s="105" t="n"/>
      <c r="T380" s="105" t="n"/>
      <c r="U380" s="105" t="n"/>
      <c r="V380" s="105" t="n"/>
      <c r="W380" s="105" t="n"/>
      <c r="X380" s="105" t="n"/>
      <c r="Y380" s="105" t="n"/>
      <c r="Z380" s="105" t="n"/>
      <c r="AA380" s="105" t="n"/>
      <c r="AB380" s="22" t="n"/>
      <c r="AC380" s="105" t="n"/>
      <c r="AD380" s="22" t="n"/>
      <c r="AE380" s="105" t="n"/>
      <c r="AF380" s="22" t="n"/>
      <c r="AG380" s="105" t="n"/>
      <c r="AH380" s="105" t="n"/>
      <c r="AI380" s="105" t="n"/>
      <c r="AJ380" s="105" t="n"/>
      <c r="AK380" s="21">
        <f>IF(Q380="ANULADA","N/A",IF(ABS(AJ380)&gt;10,"Pendiente",IF(MAX(AB380,AD380,AF380)=0,"Pendiente",MAX(0,MAX(AB380,AD380,AF380)-O380))))</f>
        <v/>
      </c>
    </row>
    <row r="381" hidden="1" ht="15" customHeight="1">
      <c r="A381" s="22" t="n"/>
      <c r="B381" s="22" t="n"/>
      <c r="C381" s="22" t="n"/>
      <c r="D381" s="13" t="n"/>
      <c r="E381" s="13" t="n"/>
      <c r="F381" s="13" t="n"/>
      <c r="G381" s="13" t="n"/>
      <c r="H381" s="23" t="n"/>
      <c r="I381" s="104" t="n"/>
      <c r="J381" s="105" t="n"/>
      <c r="K381" s="105" t="n"/>
      <c r="L381" s="13" t="n"/>
      <c r="M381" s="22" t="n"/>
      <c r="N381" s="24" t="n"/>
      <c r="O381" s="106" t="n"/>
      <c r="P381" s="22" t="n"/>
      <c r="Q381" s="22" t="n"/>
      <c r="R381" s="22" t="n"/>
      <c r="S381" s="105" t="n"/>
      <c r="T381" s="105" t="n"/>
      <c r="U381" s="105" t="n"/>
      <c r="V381" s="105" t="n"/>
      <c r="W381" s="105" t="n"/>
      <c r="X381" s="105" t="n"/>
      <c r="Y381" s="105" t="n"/>
      <c r="Z381" s="105" t="n"/>
      <c r="AA381" s="105" t="n"/>
      <c r="AB381" s="22" t="n"/>
      <c r="AC381" s="105" t="n"/>
      <c r="AD381" s="22" t="n"/>
      <c r="AE381" s="105" t="n"/>
      <c r="AF381" s="22" t="n"/>
      <c r="AG381" s="105" t="n"/>
      <c r="AH381" s="105" t="n"/>
      <c r="AI381" s="105" t="n"/>
      <c r="AJ381" s="105" t="n"/>
      <c r="AK381" s="21">
        <f>IF(Q381="ANULADA","N/A",IF(ABS(AJ381)&gt;10,"Pendiente",IF(MAX(AB381,AD381,AF381)=0,"Pendiente",MAX(0,MAX(AB381,AD381,AF381)-O381))))</f>
        <v/>
      </c>
    </row>
    <row r="382" hidden="1" ht="15" customHeight="1">
      <c r="A382" s="22" t="n"/>
      <c r="B382" s="22" t="n"/>
      <c r="C382" s="22" t="n"/>
      <c r="D382" s="13" t="n"/>
      <c r="E382" s="13" t="n"/>
      <c r="F382" s="13" t="n"/>
      <c r="G382" s="13" t="n"/>
      <c r="H382" s="23" t="n"/>
      <c r="I382" s="104" t="n"/>
      <c r="J382" s="105" t="n"/>
      <c r="K382" s="105" t="n"/>
      <c r="L382" s="13" t="n"/>
      <c r="M382" s="22" t="n"/>
      <c r="N382" s="24" t="n"/>
      <c r="O382" s="106" t="n"/>
      <c r="P382" s="22" t="n"/>
      <c r="Q382" s="22" t="n"/>
      <c r="R382" s="22" t="n"/>
      <c r="S382" s="105" t="n"/>
      <c r="T382" s="105" t="n"/>
      <c r="U382" s="105" t="n"/>
      <c r="V382" s="105" t="n"/>
      <c r="W382" s="105" t="n"/>
      <c r="X382" s="105" t="n"/>
      <c r="Y382" s="105" t="n"/>
      <c r="Z382" s="105" t="n"/>
      <c r="AA382" s="105" t="n"/>
      <c r="AB382" s="22" t="n"/>
      <c r="AC382" s="105" t="n"/>
      <c r="AD382" s="22" t="n"/>
      <c r="AE382" s="105" t="n"/>
      <c r="AF382" s="22" t="n"/>
      <c r="AG382" s="105" t="n"/>
      <c r="AH382" s="105" t="n"/>
      <c r="AI382" s="105" t="n"/>
      <c r="AJ382" s="105" t="n"/>
      <c r="AK382" s="21">
        <f>IF(Q382="ANULADA","N/A",IF(ABS(AJ382)&gt;10,"Pendiente",IF(MAX(AB382,AD382,AF382)=0,"Pendiente",MAX(0,MAX(AB382,AD382,AF382)-O382))))</f>
        <v/>
      </c>
    </row>
    <row r="383" hidden="1" ht="15" customHeight="1">
      <c r="A383" s="22" t="n"/>
      <c r="B383" s="22" t="n"/>
      <c r="C383" s="22" t="n"/>
      <c r="D383" s="13" t="n"/>
      <c r="E383" s="13" t="n"/>
      <c r="F383" s="13" t="n"/>
      <c r="G383" s="13" t="n"/>
      <c r="H383" s="23" t="n"/>
      <c r="I383" s="104" t="n"/>
      <c r="J383" s="105" t="n"/>
      <c r="K383" s="105" t="n"/>
      <c r="L383" s="13" t="n"/>
      <c r="M383" s="22" t="n"/>
      <c r="N383" s="24" t="n"/>
      <c r="O383" s="106" t="n"/>
      <c r="P383" s="22" t="n"/>
      <c r="Q383" s="22" t="n"/>
      <c r="R383" s="22" t="n"/>
      <c r="S383" s="105" t="n"/>
      <c r="T383" s="105" t="n"/>
      <c r="U383" s="105" t="n"/>
      <c r="V383" s="105" t="n"/>
      <c r="W383" s="105" t="n"/>
      <c r="X383" s="105" t="n"/>
      <c r="Y383" s="105" t="n"/>
      <c r="Z383" s="105" t="n"/>
      <c r="AA383" s="105" t="n"/>
      <c r="AB383" s="22" t="n"/>
      <c r="AC383" s="105" t="n"/>
      <c r="AD383" s="22" t="n"/>
      <c r="AE383" s="105" t="n"/>
      <c r="AF383" s="22" t="n"/>
      <c r="AG383" s="105" t="n"/>
      <c r="AH383" s="105" t="n"/>
      <c r="AI383" s="105" t="n"/>
      <c r="AJ383" s="105" t="n"/>
      <c r="AK383" s="21">
        <f>IF(Q383="ANULADA","N/A",IF(ABS(AJ383)&gt;10,"Pendiente",IF(MAX(AB383,AD383,AF383)=0,"Pendiente",MAX(0,MAX(AB383,AD383,AF383)-O383))))</f>
        <v/>
      </c>
    </row>
    <row r="384" hidden="1" ht="15" customHeight="1">
      <c r="A384" s="22" t="n"/>
      <c r="B384" s="22" t="n"/>
      <c r="C384" s="22" t="n"/>
      <c r="D384" s="13" t="n"/>
      <c r="E384" s="13" t="n"/>
      <c r="F384" s="13" t="n"/>
      <c r="G384" s="13" t="n"/>
      <c r="H384" s="23" t="n"/>
      <c r="I384" s="104" t="n"/>
      <c r="J384" s="105" t="n"/>
      <c r="K384" s="105" t="n"/>
      <c r="L384" s="13" t="n"/>
      <c r="M384" s="22" t="n"/>
      <c r="N384" s="24" t="n"/>
      <c r="O384" s="106" t="n"/>
      <c r="P384" s="22" t="n"/>
      <c r="Q384" s="39" t="n"/>
      <c r="R384" s="22" t="n"/>
      <c r="S384" s="105" t="n"/>
      <c r="T384" s="105" t="n"/>
      <c r="U384" s="105" t="n"/>
      <c r="V384" s="105" t="n"/>
      <c r="W384" s="105" t="n"/>
      <c r="X384" s="105" t="n"/>
      <c r="Y384" s="105" t="n"/>
      <c r="Z384" s="105" t="n"/>
      <c r="AA384" s="105" t="n"/>
      <c r="AB384" s="22" t="n"/>
      <c r="AC384" s="105" t="n"/>
      <c r="AD384" s="22" t="n"/>
      <c r="AE384" s="105" t="n"/>
      <c r="AF384" s="22" t="n"/>
      <c r="AG384" s="105" t="n"/>
      <c r="AH384" s="105" t="n"/>
      <c r="AI384" s="105" t="n"/>
      <c r="AJ384" s="105" t="n"/>
      <c r="AK384" s="21">
        <f>IF(Q384="ANULADA","N/A",IF(ABS(AJ384)&gt;10,"Pendiente",IF(MAX(AB384,AD384,AF384)=0,"Pendiente",MAX(0,MAX(AB384,AD384,AF384)-O384))))</f>
        <v/>
      </c>
    </row>
    <row r="385" hidden="1" ht="15" customHeight="1">
      <c r="A385" s="22" t="n"/>
      <c r="B385" s="22" t="n"/>
      <c r="C385" s="22" t="n"/>
      <c r="D385" s="13" t="n"/>
      <c r="E385" s="13" t="n"/>
      <c r="F385" s="13" t="n"/>
      <c r="G385" s="13" t="n"/>
      <c r="H385" s="23" t="n"/>
      <c r="I385" s="104" t="n"/>
      <c r="J385" s="105" t="n"/>
      <c r="K385" s="105" t="n"/>
      <c r="L385" s="13" t="n"/>
      <c r="M385" s="22" t="n"/>
      <c r="N385" s="24" t="n"/>
      <c r="O385" s="106" t="n"/>
      <c r="P385" s="22" t="n"/>
      <c r="Q385" s="22" t="n"/>
      <c r="R385" s="22" t="n"/>
      <c r="S385" s="105" t="n"/>
      <c r="T385" s="105" t="n"/>
      <c r="U385" s="105" t="n"/>
      <c r="V385" s="105" t="n"/>
      <c r="W385" s="105" t="n"/>
      <c r="X385" s="105" t="n"/>
      <c r="Y385" s="105" t="n"/>
      <c r="Z385" s="105" t="n"/>
      <c r="AA385" s="105" t="n"/>
      <c r="AB385" s="22" t="n"/>
      <c r="AC385" s="105" t="n"/>
      <c r="AD385" s="22" t="n"/>
      <c r="AE385" s="105" t="n"/>
      <c r="AF385" s="22" t="n"/>
      <c r="AG385" s="105" t="n"/>
      <c r="AH385" s="105" t="n"/>
      <c r="AI385" s="105" t="n"/>
      <c r="AJ385" s="105" t="n"/>
      <c r="AK385" s="21">
        <f>IF(Q385="ANULADA","N/A",IF(ABS(AJ385)&gt;10,"Pendiente",IF(MAX(AB385,AD385,AF385)=0,"Pendiente",MAX(0,MAX(AB385,AD385,AF385)-O385))))</f>
        <v/>
      </c>
    </row>
    <row r="386" hidden="1" ht="15" customHeight="1">
      <c r="A386" s="22" t="n"/>
      <c r="B386" s="22" t="n"/>
      <c r="C386" s="22" t="n"/>
      <c r="D386" s="13" t="n"/>
      <c r="E386" s="13" t="n"/>
      <c r="F386" s="13" t="n"/>
      <c r="G386" s="13" t="n"/>
      <c r="H386" s="23" t="n"/>
      <c r="I386" s="104" t="n"/>
      <c r="J386" s="105" t="n"/>
      <c r="K386" s="105" t="n"/>
      <c r="L386" s="13" t="n"/>
      <c r="M386" s="22" t="n"/>
      <c r="N386" s="24" t="n"/>
      <c r="O386" s="106" t="n"/>
      <c r="P386" s="22" t="n"/>
      <c r="Q386" s="39" t="n"/>
      <c r="R386" s="22" t="n"/>
      <c r="S386" s="105" t="n"/>
      <c r="T386" s="105" t="n"/>
      <c r="U386" s="105" t="n"/>
      <c r="V386" s="105" t="n"/>
      <c r="W386" s="105" t="n"/>
      <c r="X386" s="105" t="n"/>
      <c r="Y386" s="105" t="n"/>
      <c r="Z386" s="105" t="n"/>
      <c r="AA386" s="105" t="n"/>
      <c r="AB386" s="22" t="n"/>
      <c r="AC386" s="105" t="n"/>
      <c r="AD386" s="22" t="n"/>
      <c r="AE386" s="105" t="n"/>
      <c r="AF386" s="22" t="n"/>
      <c r="AG386" s="105" t="n"/>
      <c r="AH386" s="105" t="n"/>
      <c r="AI386" s="105" t="n"/>
      <c r="AJ386" s="105" t="n"/>
      <c r="AK386" s="21">
        <f>IF(Q386="ANULADA","N/A",IF(ABS(AJ386)&gt;10,"Pendiente",IF(MAX(AB386,AD386,AF386)=0,"Pendiente",MAX(0,MAX(AB386,AD386,AF386)-O386))))</f>
        <v/>
      </c>
    </row>
    <row r="387" hidden="1" ht="15" customHeight="1">
      <c r="A387" s="22" t="n"/>
      <c r="B387" s="22" t="n"/>
      <c r="C387" s="22" t="n"/>
      <c r="D387" s="13" t="n"/>
      <c r="E387" s="13" t="n"/>
      <c r="F387" s="13" t="n"/>
      <c r="G387" s="13" t="n"/>
      <c r="H387" s="23" t="n"/>
      <c r="I387" s="104" t="n"/>
      <c r="J387" s="105" t="n"/>
      <c r="K387" s="105" t="n"/>
      <c r="L387" s="13" t="n"/>
      <c r="M387" s="22" t="n"/>
      <c r="N387" s="24" t="n"/>
      <c r="O387" s="106" t="n"/>
      <c r="P387" s="22" t="n"/>
      <c r="Q387" s="39" t="n"/>
      <c r="R387" s="22" t="n"/>
      <c r="S387" s="105" t="n"/>
      <c r="T387" s="105" t="n"/>
      <c r="U387" s="105" t="n"/>
      <c r="V387" s="105" t="n"/>
      <c r="W387" s="105" t="n"/>
      <c r="X387" s="105" t="n"/>
      <c r="Y387" s="105" t="n"/>
      <c r="Z387" s="105" t="n"/>
      <c r="AA387" s="105" t="n"/>
      <c r="AB387" s="22" t="n"/>
      <c r="AC387" s="105" t="n"/>
      <c r="AD387" s="22" t="n"/>
      <c r="AE387" s="105" t="n"/>
      <c r="AF387" s="22" t="n"/>
      <c r="AG387" s="105" t="n"/>
      <c r="AH387" s="105" t="n"/>
      <c r="AI387" s="105" t="n"/>
      <c r="AJ387" s="105" t="n"/>
      <c r="AK387" s="21">
        <f>IF(Q387="ANULADA","N/A",IF(ABS(AJ387)&gt;10,"Pendiente",IF(MAX(AB387,AD387,AF387)=0,"Pendiente",MAX(0,MAX(AB387,AD387,AF387)-O387))))</f>
        <v/>
      </c>
    </row>
    <row r="388" hidden="1" ht="15" customHeight="1">
      <c r="A388" s="22" t="n"/>
      <c r="B388" s="22" t="n"/>
      <c r="C388" s="22" t="n"/>
      <c r="D388" s="13" t="n"/>
      <c r="E388" s="13" t="n"/>
      <c r="F388" s="13" t="n"/>
      <c r="G388" s="13" t="n"/>
      <c r="H388" s="23" t="n"/>
      <c r="I388" s="104" t="n"/>
      <c r="J388" s="105" t="n"/>
      <c r="K388" s="105" t="n"/>
      <c r="L388" s="13" t="n"/>
      <c r="M388" s="22" t="n"/>
      <c r="N388" s="24" t="n"/>
      <c r="O388" s="106" t="n"/>
      <c r="P388" s="22" t="n"/>
      <c r="Q388" s="22" t="n"/>
      <c r="R388" s="22" t="n"/>
      <c r="S388" s="105" t="n"/>
      <c r="T388" s="105" t="n"/>
      <c r="U388" s="105" t="n"/>
      <c r="V388" s="105" t="n"/>
      <c r="W388" s="105" t="n"/>
      <c r="X388" s="105" t="n"/>
      <c r="Y388" s="105" t="n"/>
      <c r="Z388" s="105" t="n"/>
      <c r="AA388" s="105" t="n"/>
      <c r="AB388" s="22" t="n"/>
      <c r="AC388" s="105" t="n"/>
      <c r="AD388" s="22" t="n"/>
      <c r="AE388" s="105" t="n"/>
      <c r="AF388" s="22" t="n"/>
      <c r="AG388" s="105" t="n"/>
      <c r="AH388" s="105" t="n"/>
      <c r="AI388" s="105" t="n"/>
      <c r="AJ388" s="105" t="n"/>
      <c r="AK388" s="21">
        <f>IF(Q388="ANULADA","N/A",IF(ABS(AJ388)&gt;10,"Pendiente",IF(MAX(AB388,AD388,AF388)=0,"Pendiente",MAX(0,MAX(AB388,AD388,AF388)-O388))))</f>
        <v/>
      </c>
    </row>
    <row r="389" hidden="1" ht="15" customHeight="1">
      <c r="A389" s="22" t="n"/>
      <c r="B389" s="22" t="n"/>
      <c r="C389" s="22" t="n"/>
      <c r="D389" s="13" t="n"/>
      <c r="E389" s="13" t="n"/>
      <c r="F389" s="13" t="n"/>
      <c r="G389" s="13" t="n"/>
      <c r="H389" s="23" t="n"/>
      <c r="I389" s="104" t="n"/>
      <c r="J389" s="105" t="n"/>
      <c r="K389" s="105" t="n"/>
      <c r="L389" s="13" t="n"/>
      <c r="M389" s="22" t="n"/>
      <c r="N389" s="24" t="n"/>
      <c r="O389" s="106" t="n"/>
      <c r="P389" s="22" t="n"/>
      <c r="Q389" s="22" t="n"/>
      <c r="R389" s="22" t="n"/>
      <c r="S389" s="105" t="n"/>
      <c r="T389" s="105" t="n"/>
      <c r="U389" s="105" t="n"/>
      <c r="V389" s="105" t="n"/>
      <c r="W389" s="105" t="n"/>
      <c r="X389" s="105" t="n"/>
      <c r="Y389" s="105" t="n"/>
      <c r="Z389" s="105" t="n"/>
      <c r="AA389" s="105" t="n"/>
      <c r="AB389" s="22" t="n"/>
      <c r="AC389" s="105" t="n"/>
      <c r="AD389" s="22" t="n"/>
      <c r="AE389" s="105" t="n"/>
      <c r="AF389" s="22" t="n"/>
      <c r="AG389" s="105" t="n"/>
      <c r="AH389" s="105" t="n"/>
      <c r="AI389" s="105" t="n"/>
      <c r="AJ389" s="105" t="n"/>
      <c r="AK389" s="21">
        <f>IF(Q389="ANULADA","N/A",IF(ABS(AJ389)&gt;10,"Pendiente",IF(MAX(AB389,AD389,AF389)=0,"Pendiente",MAX(0,MAX(AB389,AD389,AF389)-O389))))</f>
        <v/>
      </c>
    </row>
    <row r="390" hidden="1" ht="15" customHeight="1">
      <c r="A390" s="22" t="n"/>
      <c r="B390" s="22" t="n"/>
      <c r="C390" s="22" t="n"/>
      <c r="D390" s="13" t="n"/>
      <c r="E390" s="13" t="n"/>
      <c r="F390" s="13" t="n"/>
      <c r="G390" s="13" t="n"/>
      <c r="H390" s="23" t="n"/>
      <c r="I390" s="104" t="n"/>
      <c r="J390" s="105" t="n"/>
      <c r="K390" s="105" t="n"/>
      <c r="L390" s="13" t="n"/>
      <c r="M390" s="22" t="n"/>
      <c r="N390" s="24" t="n"/>
      <c r="O390" s="106" t="n"/>
      <c r="P390" s="22" t="n"/>
      <c r="Q390" s="22" t="n"/>
      <c r="R390" s="22" t="n"/>
      <c r="S390" s="105" t="n"/>
      <c r="T390" s="105" t="n"/>
      <c r="U390" s="105" t="n"/>
      <c r="V390" s="105" t="n"/>
      <c r="W390" s="105" t="n"/>
      <c r="X390" s="105" t="n"/>
      <c r="Y390" s="105" t="n"/>
      <c r="Z390" s="105" t="n"/>
      <c r="AA390" s="105" t="n"/>
      <c r="AB390" s="22" t="n"/>
      <c r="AC390" s="105" t="n"/>
      <c r="AD390" s="22" t="n"/>
      <c r="AE390" s="105" t="n"/>
      <c r="AF390" s="22" t="n"/>
      <c r="AG390" s="105" t="n"/>
      <c r="AH390" s="105" t="n"/>
      <c r="AI390" s="105" t="n"/>
      <c r="AJ390" s="105" t="n"/>
      <c r="AK390" s="21">
        <f>IF(Q390="ANULADA","N/A",IF(ABS(AJ390)&gt;10,"Pendiente",IF(MAX(AB390,AD390,AF390)=0,"Pendiente",MAX(0,MAX(AB390,AD390,AF390)-O390))))</f>
        <v/>
      </c>
    </row>
    <row r="391" hidden="1" ht="15" customHeight="1">
      <c r="A391" s="22" t="n"/>
      <c r="B391" s="22" t="n"/>
      <c r="C391" s="22" t="n"/>
      <c r="D391" s="13" t="n"/>
      <c r="E391" s="13" t="n"/>
      <c r="F391" s="13" t="n"/>
      <c r="G391" s="13" t="n"/>
      <c r="H391" s="23" t="n"/>
      <c r="I391" s="104" t="n"/>
      <c r="J391" s="105" t="n"/>
      <c r="K391" s="105" t="n"/>
      <c r="L391" s="13" t="n"/>
      <c r="M391" s="22" t="n"/>
      <c r="N391" s="24" t="n"/>
      <c r="O391" s="106" t="n"/>
      <c r="P391" s="22" t="n"/>
      <c r="Q391" s="39" t="n"/>
      <c r="R391" s="22" t="n"/>
      <c r="S391" s="105" t="n"/>
      <c r="T391" s="105" t="n"/>
      <c r="U391" s="105" t="n"/>
      <c r="V391" s="105" t="n"/>
      <c r="W391" s="105" t="n"/>
      <c r="X391" s="105" t="n"/>
      <c r="Y391" s="105" t="n"/>
      <c r="Z391" s="105" t="n"/>
      <c r="AA391" s="105" t="n"/>
      <c r="AB391" s="22" t="n"/>
      <c r="AC391" s="105" t="n"/>
      <c r="AD391" s="22" t="n"/>
      <c r="AE391" s="105" t="n"/>
      <c r="AF391" s="22" t="n"/>
      <c r="AG391" s="105" t="n"/>
      <c r="AH391" s="105" t="n"/>
      <c r="AI391" s="105" t="n"/>
      <c r="AJ391" s="105" t="n"/>
      <c r="AK391" s="21">
        <f>IF(Q391="ANULADA","N/A",IF(ABS(AJ391)&gt;10,"Pendiente",IF(MAX(AB391,AD391,AF391)=0,"Pendiente",MAX(0,MAX(AB391,AD391,AF391)-O391))))</f>
        <v/>
      </c>
    </row>
    <row r="392" hidden="1" ht="15" customHeight="1">
      <c r="A392" s="22" t="n"/>
      <c r="B392" s="22" t="n"/>
      <c r="C392" s="22" t="n"/>
      <c r="D392" s="13" t="n"/>
      <c r="E392" s="13" t="n"/>
      <c r="F392" s="13" t="n"/>
      <c r="G392" s="13" t="n"/>
      <c r="H392" s="23" t="n"/>
      <c r="I392" s="104" t="n"/>
      <c r="J392" s="105" t="n"/>
      <c r="K392" s="105" t="n"/>
      <c r="L392" s="13" t="n"/>
      <c r="M392" s="22" t="n"/>
      <c r="N392" s="24" t="n"/>
      <c r="O392" s="106" t="n"/>
      <c r="P392" s="22" t="n"/>
      <c r="Q392" s="22" t="n"/>
      <c r="R392" s="22" t="n"/>
      <c r="S392" s="105" t="n"/>
      <c r="T392" s="105" t="n"/>
      <c r="U392" s="105" t="n"/>
      <c r="V392" s="105" t="n"/>
      <c r="W392" s="105" t="n"/>
      <c r="X392" s="105" t="n"/>
      <c r="Y392" s="105" t="n"/>
      <c r="Z392" s="105" t="n"/>
      <c r="AA392" s="105" t="n"/>
      <c r="AB392" s="22" t="n"/>
      <c r="AC392" s="105" t="n"/>
      <c r="AD392" s="22" t="n"/>
      <c r="AE392" s="105" t="n"/>
      <c r="AF392" s="22" t="n"/>
      <c r="AG392" s="105" t="n"/>
      <c r="AH392" s="105" t="n"/>
      <c r="AI392" s="105" t="n"/>
      <c r="AJ392" s="105" t="n"/>
      <c r="AK392" s="21">
        <f>IF(Q392="ANULADA","N/A",IF(ABS(AJ392)&gt;10,"Pendiente",IF(MAX(AB392,AD392,AF392)=0,"Pendiente",MAX(0,MAX(AB392,AD392,AF392)-O392))))</f>
        <v/>
      </c>
    </row>
    <row r="393" hidden="1" ht="15" customHeight="1">
      <c r="A393" s="22" t="n"/>
      <c r="B393" s="22" t="n"/>
      <c r="C393" s="22" t="n"/>
      <c r="D393" s="13" t="n"/>
      <c r="E393" s="13" t="n"/>
      <c r="F393" s="13" t="n"/>
      <c r="G393" s="13" t="n"/>
      <c r="H393" s="23" t="n"/>
      <c r="I393" s="104" t="n"/>
      <c r="J393" s="105" t="n"/>
      <c r="K393" s="105" t="n"/>
      <c r="L393" s="13" t="n"/>
      <c r="M393" s="22" t="n"/>
      <c r="N393" s="24" t="n"/>
      <c r="O393" s="106" t="n"/>
      <c r="P393" s="22" t="n"/>
      <c r="Q393" s="39" t="n"/>
      <c r="R393" s="22" t="n"/>
      <c r="S393" s="105" t="n"/>
      <c r="T393" s="105" t="n"/>
      <c r="U393" s="105" t="n"/>
      <c r="V393" s="105" t="n"/>
      <c r="W393" s="105" t="n"/>
      <c r="X393" s="105" t="n"/>
      <c r="Y393" s="105" t="n"/>
      <c r="Z393" s="105" t="n"/>
      <c r="AA393" s="105" t="n"/>
      <c r="AB393" s="22" t="n"/>
      <c r="AC393" s="105" t="n"/>
      <c r="AD393" s="22" t="n"/>
      <c r="AE393" s="105" t="n"/>
      <c r="AF393" s="22" t="n"/>
      <c r="AG393" s="105" t="n"/>
      <c r="AH393" s="105" t="n"/>
      <c r="AI393" s="105" t="n"/>
      <c r="AJ393" s="105" t="n"/>
      <c r="AK393" s="21">
        <f>IF(Q393="ANULADA","N/A",IF(ABS(AJ393)&gt;10,"Pendiente",IF(MAX(AB393,AD393,AF393)=0,"Pendiente",MAX(0,MAX(AB393,AD393,AF393)-O393))))</f>
        <v/>
      </c>
    </row>
    <row r="394" hidden="1" ht="15" customHeight="1">
      <c r="A394" s="22" t="n"/>
      <c r="B394" s="22" t="n"/>
      <c r="C394" s="22" t="n"/>
      <c r="D394" s="13" t="n"/>
      <c r="E394" s="13" t="n"/>
      <c r="F394" s="13" t="n"/>
      <c r="G394" s="13" t="n"/>
      <c r="H394" s="23" t="n"/>
      <c r="I394" s="104" t="n"/>
      <c r="J394" s="105" t="n"/>
      <c r="K394" s="105" t="n"/>
      <c r="L394" s="13" t="n"/>
      <c r="M394" s="22" t="n"/>
      <c r="N394" s="24" t="n"/>
      <c r="O394" s="106" t="n"/>
      <c r="P394" s="22" t="n"/>
      <c r="Q394" s="39" t="n"/>
      <c r="R394" s="22" t="n"/>
      <c r="S394" s="105" t="n"/>
      <c r="T394" s="105" t="n"/>
      <c r="U394" s="105" t="n"/>
      <c r="V394" s="105" t="n"/>
      <c r="W394" s="105" t="n"/>
      <c r="X394" s="105" t="n"/>
      <c r="Y394" s="105" t="n"/>
      <c r="Z394" s="105" t="n"/>
      <c r="AA394" s="105" t="n"/>
      <c r="AB394" s="22" t="n"/>
      <c r="AC394" s="105" t="n"/>
      <c r="AD394" s="22" t="n"/>
      <c r="AE394" s="105" t="n"/>
      <c r="AF394" s="22" t="n"/>
      <c r="AG394" s="105" t="n"/>
      <c r="AH394" s="105" t="n"/>
      <c r="AI394" s="105" t="n"/>
      <c r="AJ394" s="105" t="n"/>
      <c r="AK394" s="21">
        <f>IF(Q394="ANULADA","N/A",IF(ABS(AJ394)&gt;10,"Pendiente",IF(MAX(AB394,AD394,AF394)=0,"Pendiente",MAX(0,MAX(AB394,AD394,AF394)-O394))))</f>
        <v/>
      </c>
    </row>
    <row r="395" hidden="1" ht="15" customHeight="1">
      <c r="A395" s="22" t="n"/>
      <c r="B395" s="22" t="n"/>
      <c r="C395" s="22" t="n"/>
      <c r="D395" s="13" t="n"/>
      <c r="E395" s="13" t="n"/>
      <c r="F395" s="13" t="n"/>
      <c r="G395" s="13" t="n"/>
      <c r="H395" s="23" t="n"/>
      <c r="I395" s="104" t="n"/>
      <c r="J395" s="105" t="n"/>
      <c r="K395" s="105" t="n"/>
      <c r="L395" s="13" t="n"/>
      <c r="M395" s="22" t="n"/>
      <c r="N395" s="24" t="n"/>
      <c r="O395" s="106" t="n"/>
      <c r="P395" s="22" t="n"/>
      <c r="Q395" s="22" t="n"/>
      <c r="R395" s="22" t="n"/>
      <c r="S395" s="105" t="n"/>
      <c r="T395" s="105" t="n"/>
      <c r="U395" s="105" t="n"/>
      <c r="V395" s="105" t="n"/>
      <c r="W395" s="105" t="n"/>
      <c r="X395" s="105" t="n"/>
      <c r="Y395" s="105" t="n"/>
      <c r="Z395" s="105" t="n"/>
      <c r="AA395" s="105" t="n"/>
      <c r="AB395" s="22" t="n"/>
      <c r="AC395" s="105" t="n"/>
      <c r="AD395" s="22" t="n"/>
      <c r="AE395" s="105" t="n"/>
      <c r="AF395" s="22" t="n"/>
      <c r="AG395" s="105" t="n"/>
      <c r="AH395" s="105" t="n"/>
      <c r="AI395" s="105" t="n"/>
      <c r="AJ395" s="105" t="n"/>
      <c r="AK395" s="21">
        <f>IF(Q395="ANULADA","N/A",IF(ABS(AJ395)&gt;10,"Pendiente",IF(MAX(AB395,AD395,AF395)=0,"Pendiente",MAX(0,MAX(AB395,AD395,AF395)-O395))))</f>
        <v/>
      </c>
    </row>
    <row r="396" hidden="1" ht="15" customHeight="1">
      <c r="A396" s="22" t="n"/>
      <c r="B396" s="22" t="n"/>
      <c r="C396" s="22" t="n"/>
      <c r="D396" s="13" t="n"/>
      <c r="E396" s="13" t="n"/>
      <c r="F396" s="13" t="n"/>
      <c r="G396" s="13" t="n"/>
      <c r="H396" s="23" t="n"/>
      <c r="I396" s="104" t="n"/>
      <c r="J396" s="105" t="n"/>
      <c r="K396" s="105" t="n"/>
      <c r="L396" s="13" t="n"/>
      <c r="M396" s="22" t="n"/>
      <c r="N396" s="24" t="n"/>
      <c r="O396" s="106" t="n"/>
      <c r="P396" s="22" t="n"/>
      <c r="Q396" s="22" t="n"/>
      <c r="R396" s="22" t="n"/>
      <c r="S396" s="105" t="n"/>
      <c r="T396" s="105" t="n"/>
      <c r="U396" s="105" t="n"/>
      <c r="V396" s="105" t="n"/>
      <c r="W396" s="105" t="n"/>
      <c r="X396" s="105" t="n"/>
      <c r="Y396" s="105" t="n"/>
      <c r="Z396" s="105" t="n"/>
      <c r="AA396" s="105" t="n"/>
      <c r="AB396" s="22" t="n"/>
      <c r="AC396" s="105" t="n"/>
      <c r="AD396" s="22" t="n"/>
      <c r="AE396" s="105" t="n"/>
      <c r="AF396" s="22" t="n"/>
      <c r="AG396" s="105" t="n"/>
      <c r="AH396" s="105" t="n"/>
      <c r="AI396" s="105" t="n"/>
      <c r="AJ396" s="105" t="n"/>
      <c r="AK396" s="21">
        <f>IF(Q396="ANULADA","N/A",IF(ABS(AJ396)&gt;10,"Pendiente",IF(MAX(AB396,AD396,AF396)=0,"Pendiente",MAX(0,MAX(AB396,AD396,AF396)-O396))))</f>
        <v/>
      </c>
    </row>
    <row r="397" hidden="1" ht="15" customHeight="1">
      <c r="A397" s="22" t="n"/>
      <c r="B397" s="22" t="n"/>
      <c r="C397" s="22" t="n"/>
      <c r="D397" s="13" t="n"/>
      <c r="E397" s="13" t="n"/>
      <c r="F397" s="13" t="n"/>
      <c r="G397" s="13" t="n"/>
      <c r="H397" s="23" t="n"/>
      <c r="I397" s="104" t="n"/>
      <c r="J397" s="105" t="n"/>
      <c r="K397" s="105" t="n"/>
      <c r="L397" s="13" t="n"/>
      <c r="M397" s="22" t="n"/>
      <c r="N397" s="24" t="n"/>
      <c r="O397" s="106" t="n"/>
      <c r="P397" s="22" t="n"/>
      <c r="Q397" s="22" t="n"/>
      <c r="R397" s="22" t="n"/>
      <c r="S397" s="105" t="n"/>
      <c r="T397" s="105" t="n"/>
      <c r="U397" s="105" t="n"/>
      <c r="V397" s="105" t="n"/>
      <c r="W397" s="105" t="n"/>
      <c r="X397" s="105" t="n"/>
      <c r="Y397" s="105" t="n"/>
      <c r="Z397" s="105" t="n"/>
      <c r="AA397" s="105" t="n"/>
      <c r="AB397" s="22" t="n"/>
      <c r="AC397" s="105" t="n"/>
      <c r="AD397" s="22" t="n"/>
      <c r="AE397" s="105" t="n"/>
      <c r="AF397" s="22" t="n"/>
      <c r="AG397" s="105" t="n"/>
      <c r="AH397" s="105" t="n"/>
      <c r="AI397" s="105" t="n"/>
      <c r="AJ397" s="105" t="n"/>
      <c r="AK397" s="21">
        <f>IF(Q397="ANULADA","N/A",IF(ABS(AJ397)&gt;10,"Pendiente",IF(MAX(AB397,AD397,AF397)=0,"Pendiente",MAX(0,MAX(AB397,AD397,AF397)-O397))))</f>
        <v/>
      </c>
    </row>
    <row r="398" hidden="1" ht="15" customHeight="1">
      <c r="A398" s="22" t="n"/>
      <c r="B398" s="22" t="n"/>
      <c r="C398" s="22" t="n"/>
      <c r="D398" s="13" t="n"/>
      <c r="E398" s="13" t="n"/>
      <c r="F398" s="13" t="n"/>
      <c r="G398" s="13" t="n"/>
      <c r="H398" s="23" t="n"/>
      <c r="I398" s="104" t="n"/>
      <c r="J398" s="105" t="n"/>
      <c r="K398" s="105" t="n"/>
      <c r="L398" s="13" t="n"/>
      <c r="M398" s="22" t="n"/>
      <c r="N398" s="24" t="n"/>
      <c r="O398" s="106" t="n"/>
      <c r="P398" s="22" t="n"/>
      <c r="Q398" s="39" t="n"/>
      <c r="R398" s="22" t="n"/>
      <c r="S398" s="105" t="n"/>
      <c r="T398" s="105" t="n"/>
      <c r="U398" s="105" t="n"/>
      <c r="V398" s="105" t="n"/>
      <c r="W398" s="105" t="n"/>
      <c r="X398" s="105" t="n"/>
      <c r="Y398" s="105" t="n"/>
      <c r="Z398" s="105" t="n"/>
      <c r="AA398" s="105" t="n"/>
      <c r="AB398" s="22" t="n"/>
      <c r="AC398" s="105" t="n"/>
      <c r="AD398" s="22" t="n"/>
      <c r="AE398" s="105" t="n"/>
      <c r="AF398" s="22" t="n"/>
      <c r="AG398" s="105" t="n"/>
      <c r="AH398" s="105" t="n"/>
      <c r="AI398" s="105" t="n"/>
      <c r="AJ398" s="105" t="n"/>
      <c r="AK398" s="21">
        <f>IF(Q398="ANULADA","N/A",IF(ABS(AJ398)&gt;10,"Pendiente",IF(MAX(AB398,AD398,AF398)=0,"Pendiente",MAX(0,MAX(AB398,AD398,AF398)-O398))))</f>
        <v/>
      </c>
    </row>
    <row r="399" hidden="1" ht="15" customHeight="1">
      <c r="A399" s="22" t="n"/>
      <c r="B399" s="22" t="n"/>
      <c r="C399" s="22" t="n"/>
      <c r="D399" s="13" t="n"/>
      <c r="E399" s="13" t="n"/>
      <c r="F399" s="13" t="n"/>
      <c r="G399" s="13" t="n"/>
      <c r="H399" s="23" t="n"/>
      <c r="I399" s="104" t="n"/>
      <c r="J399" s="105" t="n"/>
      <c r="K399" s="105" t="n"/>
      <c r="L399" s="13" t="n"/>
      <c r="M399" s="22" t="n"/>
      <c r="N399" s="24" t="n"/>
      <c r="O399" s="106" t="n"/>
      <c r="P399" s="22" t="n"/>
      <c r="Q399" s="22" t="n"/>
      <c r="R399" s="22" t="n"/>
      <c r="S399" s="105" t="n"/>
      <c r="T399" s="105" t="n"/>
      <c r="U399" s="105" t="n"/>
      <c r="V399" s="105" t="n"/>
      <c r="W399" s="105" t="n"/>
      <c r="X399" s="105" t="n"/>
      <c r="Y399" s="105" t="n"/>
      <c r="Z399" s="105" t="n"/>
      <c r="AA399" s="105" t="n"/>
      <c r="AB399" s="22" t="n"/>
      <c r="AC399" s="105" t="n"/>
      <c r="AD399" s="22" t="n"/>
      <c r="AE399" s="105" t="n"/>
      <c r="AF399" s="22" t="n"/>
      <c r="AG399" s="105" t="n"/>
      <c r="AH399" s="105" t="n"/>
      <c r="AI399" s="105" t="n"/>
      <c r="AJ399" s="105" t="n"/>
      <c r="AK399" s="21">
        <f>IF(Q399="ANULADA","N/A",IF(ABS(AJ399)&gt;10,"Pendiente",IF(MAX(AB399,AD399,AF399)=0,"Pendiente",MAX(0,MAX(AB399,AD399,AF399)-O399))))</f>
        <v/>
      </c>
    </row>
    <row r="400" hidden="1" ht="15" customHeight="1">
      <c r="A400" s="22" t="n"/>
      <c r="B400" s="22" t="n"/>
      <c r="C400" s="22" t="n"/>
      <c r="D400" s="13" t="n"/>
      <c r="E400" s="13" t="n"/>
      <c r="F400" s="13" t="n"/>
      <c r="G400" s="13" t="n"/>
      <c r="H400" s="23" t="n"/>
      <c r="I400" s="104" t="n"/>
      <c r="J400" s="105" t="n"/>
      <c r="K400" s="105" t="n"/>
      <c r="L400" s="13" t="n"/>
      <c r="M400" s="22" t="n"/>
      <c r="N400" s="24" t="n"/>
      <c r="O400" s="106" t="n"/>
      <c r="P400" s="22" t="n"/>
      <c r="Q400" s="39" t="n"/>
      <c r="R400" s="22" t="n"/>
      <c r="S400" s="105" t="n"/>
      <c r="T400" s="105" t="n"/>
      <c r="U400" s="105" t="n"/>
      <c r="V400" s="105" t="n"/>
      <c r="W400" s="105" t="n"/>
      <c r="X400" s="105" t="n"/>
      <c r="Y400" s="105" t="n"/>
      <c r="Z400" s="105" t="n"/>
      <c r="AA400" s="105" t="n"/>
      <c r="AB400" s="22" t="n"/>
      <c r="AC400" s="105" t="n"/>
      <c r="AD400" s="22" t="n"/>
      <c r="AE400" s="105" t="n"/>
      <c r="AF400" s="22" t="n"/>
      <c r="AG400" s="105" t="n"/>
      <c r="AH400" s="105" t="n"/>
      <c r="AI400" s="105" t="n"/>
      <c r="AJ400" s="105" t="n"/>
      <c r="AK400" s="21">
        <f>IF(Q400="ANULADA","N/A",IF(ABS(AJ400)&gt;10,"Pendiente",IF(MAX(AB400,AD400,AF400)=0,"Pendiente",MAX(0,MAX(AB400,AD400,AF400)-O400))))</f>
        <v/>
      </c>
    </row>
    <row r="401" hidden="1" ht="15" customHeight="1">
      <c r="A401" s="22" t="n"/>
      <c r="B401" s="22" t="n"/>
      <c r="C401" s="22" t="n"/>
      <c r="D401" s="13" t="n"/>
      <c r="E401" s="13" t="n"/>
      <c r="F401" s="13" t="n"/>
      <c r="G401" s="13" t="n"/>
      <c r="H401" s="23" t="n"/>
      <c r="I401" s="104" t="n"/>
      <c r="J401" s="105" t="n"/>
      <c r="K401" s="105" t="n"/>
      <c r="L401" s="13" t="n"/>
      <c r="M401" s="22" t="n"/>
      <c r="N401" s="24" t="n"/>
      <c r="O401" s="106" t="n"/>
      <c r="P401" s="22" t="n"/>
      <c r="Q401" s="39" t="n"/>
      <c r="R401" s="22" t="n"/>
      <c r="S401" s="105" t="n"/>
      <c r="T401" s="105" t="n"/>
      <c r="U401" s="105" t="n"/>
      <c r="V401" s="105" t="n"/>
      <c r="W401" s="105" t="n"/>
      <c r="X401" s="105" t="n"/>
      <c r="Y401" s="105" t="n"/>
      <c r="Z401" s="105" t="n"/>
      <c r="AA401" s="105" t="n"/>
      <c r="AB401" s="22" t="n"/>
      <c r="AC401" s="105" t="n"/>
      <c r="AD401" s="22" t="n"/>
      <c r="AE401" s="105" t="n"/>
      <c r="AF401" s="22" t="n"/>
      <c r="AG401" s="105" t="n"/>
      <c r="AH401" s="105" t="n"/>
      <c r="AI401" s="105" t="n"/>
      <c r="AJ401" s="105" t="n"/>
      <c r="AK401" s="21">
        <f>IF(Q401="ANULADA","N/A",IF(ABS(AJ401)&gt;10,"Pendiente",IF(MAX(AB401,AD401,AF401)=0,"Pendiente",MAX(0,MAX(AB401,AD401,AF401)-O401))))</f>
        <v/>
      </c>
    </row>
    <row r="402" hidden="1" ht="15" customHeight="1">
      <c r="A402" s="22" t="n"/>
      <c r="B402" s="22" t="n"/>
      <c r="C402" s="22" t="n"/>
      <c r="D402" s="13" t="n"/>
      <c r="E402" s="13" t="n"/>
      <c r="F402" s="13" t="n"/>
      <c r="G402" s="13" t="n"/>
      <c r="H402" s="23" t="n"/>
      <c r="I402" s="104" t="n"/>
      <c r="J402" s="105" t="n"/>
      <c r="K402" s="105" t="n"/>
      <c r="L402" s="13" t="n"/>
      <c r="M402" s="22" t="n"/>
      <c r="N402" s="24" t="n"/>
      <c r="O402" s="106" t="n"/>
      <c r="P402" s="22" t="n"/>
      <c r="Q402" s="22" t="n"/>
      <c r="R402" s="22" t="n"/>
      <c r="S402" s="105" t="n"/>
      <c r="T402" s="105" t="n"/>
      <c r="U402" s="105" t="n"/>
      <c r="V402" s="105" t="n"/>
      <c r="W402" s="105" t="n"/>
      <c r="X402" s="105" t="n"/>
      <c r="Y402" s="105" t="n"/>
      <c r="Z402" s="105" t="n"/>
      <c r="AA402" s="105" t="n"/>
      <c r="AB402" s="22" t="n"/>
      <c r="AC402" s="105" t="n"/>
      <c r="AD402" s="22" t="n"/>
      <c r="AE402" s="105" t="n"/>
      <c r="AF402" s="22" t="n"/>
      <c r="AG402" s="105" t="n"/>
      <c r="AH402" s="105" t="n"/>
      <c r="AI402" s="105" t="n"/>
      <c r="AJ402" s="105" t="n"/>
      <c r="AK402" s="21">
        <f>IF(Q402="ANULADA","N/A",IF(ABS(AJ402)&gt;10,"Pendiente",IF(MAX(AB402,AD402,AF402)=0,"Pendiente",MAX(0,MAX(AB402,AD402,AF402)-O402))))</f>
        <v/>
      </c>
    </row>
    <row r="403" hidden="1" ht="15" customHeight="1">
      <c r="A403" s="22" t="n"/>
      <c r="B403" s="22" t="n"/>
      <c r="C403" s="22" t="n"/>
      <c r="D403" s="13" t="n"/>
      <c r="E403" s="13" t="n"/>
      <c r="F403" s="13" t="n"/>
      <c r="G403" s="13" t="n"/>
      <c r="H403" s="23" t="n"/>
      <c r="I403" s="104" t="n"/>
      <c r="J403" s="105" t="n"/>
      <c r="K403" s="105" t="n"/>
      <c r="L403" s="13" t="n"/>
      <c r="M403" s="22" t="n"/>
      <c r="N403" s="24" t="n"/>
      <c r="O403" s="106" t="n"/>
      <c r="P403" s="22" t="n"/>
      <c r="Q403" s="22" t="n"/>
      <c r="R403" s="22" t="n"/>
      <c r="S403" s="105" t="n"/>
      <c r="T403" s="105" t="n"/>
      <c r="U403" s="105" t="n"/>
      <c r="V403" s="105" t="n"/>
      <c r="W403" s="105" t="n"/>
      <c r="X403" s="105" t="n"/>
      <c r="Y403" s="105" t="n"/>
      <c r="Z403" s="105" t="n"/>
      <c r="AA403" s="105" t="n"/>
      <c r="AB403" s="22" t="n"/>
      <c r="AC403" s="105" t="n"/>
      <c r="AD403" s="22" t="n"/>
      <c r="AE403" s="105" t="n"/>
      <c r="AF403" s="22" t="n"/>
      <c r="AG403" s="105" t="n"/>
      <c r="AH403" s="105" t="n"/>
      <c r="AI403" s="105" t="n"/>
      <c r="AJ403" s="105" t="n"/>
      <c r="AK403" s="21">
        <f>IF(Q403="ANULADA","N/A",IF(ABS(AJ403)&gt;10,"Pendiente",IF(MAX(AB403,AD403,AF403)=0,"Pendiente",MAX(0,MAX(AB403,AD403,AF403)-O403))))</f>
        <v/>
      </c>
    </row>
    <row r="404" hidden="1" ht="15" customHeight="1">
      <c r="A404" s="22" t="n"/>
      <c r="B404" s="22" t="n"/>
      <c r="C404" s="22" t="n"/>
      <c r="D404" s="13" t="n"/>
      <c r="E404" s="13" t="n"/>
      <c r="F404" s="13" t="n"/>
      <c r="G404" s="13" t="n"/>
      <c r="H404" s="23" t="n"/>
      <c r="I404" s="104" t="n"/>
      <c r="J404" s="105" t="n"/>
      <c r="K404" s="105" t="n"/>
      <c r="L404" s="13" t="n"/>
      <c r="M404" s="22" t="n"/>
      <c r="N404" s="24" t="n"/>
      <c r="O404" s="106" t="n"/>
      <c r="P404" s="22" t="n"/>
      <c r="Q404" s="22" t="n"/>
      <c r="R404" s="22" t="n"/>
      <c r="S404" s="105" t="n"/>
      <c r="T404" s="105" t="n"/>
      <c r="U404" s="105" t="n"/>
      <c r="V404" s="105" t="n"/>
      <c r="W404" s="105" t="n"/>
      <c r="X404" s="105" t="n"/>
      <c r="Y404" s="105" t="n"/>
      <c r="Z404" s="105" t="n"/>
      <c r="AA404" s="105" t="n"/>
      <c r="AB404" s="22" t="n"/>
      <c r="AC404" s="105" t="n"/>
      <c r="AD404" s="22" t="n"/>
      <c r="AE404" s="105" t="n"/>
      <c r="AF404" s="22" t="n"/>
      <c r="AG404" s="105" t="n"/>
      <c r="AH404" s="105" t="n"/>
      <c r="AI404" s="105" t="n"/>
      <c r="AJ404" s="105" t="n"/>
      <c r="AK404" s="21">
        <f>IF(Q404="ANULADA","N/A",IF(ABS(AJ404)&gt;10,"Pendiente",IF(MAX(AB404,AD404,AF404)=0,"Pendiente",MAX(0,MAX(AB404,AD404,AF404)-O404))))</f>
        <v/>
      </c>
    </row>
    <row r="405" hidden="1" ht="15" customHeight="1">
      <c r="A405" s="22" t="n"/>
      <c r="B405" s="22" t="n"/>
      <c r="C405" s="22" t="n"/>
      <c r="D405" s="13" t="n"/>
      <c r="E405" s="13" t="n"/>
      <c r="F405" s="13" t="n"/>
      <c r="G405" s="13" t="n"/>
      <c r="H405" s="23" t="n"/>
      <c r="I405" s="104" t="n"/>
      <c r="J405" s="105" t="n"/>
      <c r="K405" s="105" t="n"/>
      <c r="L405" s="13" t="n"/>
      <c r="M405" s="22" t="n"/>
      <c r="N405" s="24" t="n"/>
      <c r="O405" s="106" t="n"/>
      <c r="P405" s="22" t="n"/>
      <c r="Q405" s="39" t="n"/>
      <c r="R405" s="22" t="n"/>
      <c r="S405" s="105" t="n"/>
      <c r="T405" s="105" t="n"/>
      <c r="U405" s="105" t="n"/>
      <c r="V405" s="105" t="n"/>
      <c r="W405" s="105" t="n"/>
      <c r="X405" s="105" t="n"/>
      <c r="Y405" s="105" t="n"/>
      <c r="Z405" s="105" t="n"/>
      <c r="AA405" s="105" t="n"/>
      <c r="AB405" s="22" t="n"/>
      <c r="AC405" s="105" t="n"/>
      <c r="AD405" s="22" t="n"/>
      <c r="AE405" s="105" t="n"/>
      <c r="AF405" s="22" t="n"/>
      <c r="AG405" s="105" t="n"/>
      <c r="AH405" s="105" t="n"/>
      <c r="AI405" s="105" t="n"/>
      <c r="AJ405" s="105" t="n"/>
      <c r="AK405" s="21">
        <f>IF(Q405="ANULADA","N/A",IF(ABS(AJ405)&gt;10,"Pendiente",IF(MAX(AB405,AD405,AF405)=0,"Pendiente",MAX(0,MAX(AB405,AD405,AF405)-O405))))</f>
        <v/>
      </c>
    </row>
    <row r="406" hidden="1" ht="15" customHeight="1">
      <c r="A406" s="22" t="n"/>
      <c r="B406" s="22" t="n"/>
      <c r="C406" s="22" t="n"/>
      <c r="D406" s="13" t="n"/>
      <c r="E406" s="13" t="n"/>
      <c r="F406" s="13" t="n"/>
      <c r="G406" s="13" t="n"/>
      <c r="H406" s="23" t="n"/>
      <c r="I406" s="104" t="n"/>
      <c r="J406" s="105" t="n"/>
      <c r="K406" s="105" t="n"/>
      <c r="L406" s="13" t="n"/>
      <c r="M406" s="22" t="n"/>
      <c r="N406" s="24" t="n"/>
      <c r="O406" s="106" t="n"/>
      <c r="P406" s="22" t="n"/>
      <c r="Q406" s="22" t="n"/>
      <c r="R406" s="22" t="n"/>
      <c r="S406" s="105" t="n"/>
      <c r="T406" s="105" t="n"/>
      <c r="U406" s="105" t="n"/>
      <c r="V406" s="105" t="n"/>
      <c r="W406" s="105" t="n"/>
      <c r="X406" s="105" t="n"/>
      <c r="Y406" s="105" t="n"/>
      <c r="Z406" s="105" t="n"/>
      <c r="AA406" s="105" t="n"/>
      <c r="AB406" s="22" t="n"/>
      <c r="AC406" s="105" t="n"/>
      <c r="AD406" s="22" t="n"/>
      <c r="AE406" s="105" t="n"/>
      <c r="AF406" s="22" t="n"/>
      <c r="AG406" s="105" t="n"/>
      <c r="AH406" s="105" t="n"/>
      <c r="AI406" s="105" t="n"/>
      <c r="AJ406" s="105" t="n"/>
      <c r="AK406" s="21">
        <f>IF(Q406="ANULADA","N/A",IF(ABS(AJ406)&gt;10,"Pendiente",IF(MAX(AB406,AD406,AF406)=0,"Pendiente",MAX(0,MAX(AB406,AD406,AF406)-O406))))</f>
        <v/>
      </c>
    </row>
    <row r="407" hidden="1" ht="15" customHeight="1">
      <c r="A407" s="22" t="n"/>
      <c r="B407" s="22" t="n"/>
      <c r="C407" s="22" t="n"/>
      <c r="D407" s="13" t="n"/>
      <c r="E407" s="13" t="n"/>
      <c r="F407" s="13" t="n"/>
      <c r="G407" s="13" t="n"/>
      <c r="H407" s="23" t="n"/>
      <c r="I407" s="104" t="n"/>
      <c r="J407" s="105" t="n"/>
      <c r="K407" s="105" t="n"/>
      <c r="L407" s="13" t="n"/>
      <c r="M407" s="22" t="n"/>
      <c r="N407" s="24" t="n"/>
      <c r="O407" s="106" t="n"/>
      <c r="P407" s="22" t="n"/>
      <c r="Q407" s="39" t="n"/>
      <c r="R407" s="22" t="n"/>
      <c r="S407" s="105" t="n"/>
      <c r="T407" s="105" t="n"/>
      <c r="U407" s="105" t="n"/>
      <c r="V407" s="105" t="n"/>
      <c r="W407" s="105" t="n"/>
      <c r="X407" s="105" t="n"/>
      <c r="Y407" s="105" t="n"/>
      <c r="Z407" s="105" t="n"/>
      <c r="AA407" s="105" t="n"/>
      <c r="AB407" s="22" t="n"/>
      <c r="AC407" s="105" t="n"/>
      <c r="AD407" s="22" t="n"/>
      <c r="AE407" s="105" t="n"/>
      <c r="AF407" s="22" t="n"/>
      <c r="AG407" s="105" t="n"/>
      <c r="AH407" s="105" t="n"/>
      <c r="AI407" s="105" t="n"/>
      <c r="AJ407" s="105" t="n"/>
      <c r="AK407" s="21">
        <f>IF(Q407="ANULADA","N/A",IF(ABS(AJ407)&gt;10,"Pendiente",IF(MAX(AB407,AD407,AF407)=0,"Pendiente",MAX(0,MAX(AB407,AD407,AF407)-O407))))</f>
        <v/>
      </c>
    </row>
    <row r="408" hidden="1" ht="15" customHeight="1">
      <c r="A408" s="22" t="n"/>
      <c r="B408" s="22" t="n"/>
      <c r="C408" s="22" t="n"/>
      <c r="D408" s="13" t="n"/>
      <c r="E408" s="13" t="n"/>
      <c r="F408" s="13" t="n"/>
      <c r="G408" s="13" t="n"/>
      <c r="H408" s="23" t="n"/>
      <c r="I408" s="104" t="n"/>
      <c r="J408" s="105" t="n"/>
      <c r="K408" s="105" t="n"/>
      <c r="L408" s="13" t="n"/>
      <c r="M408" s="22" t="n"/>
      <c r="N408" s="24" t="n"/>
      <c r="O408" s="106" t="n"/>
      <c r="P408" s="22" t="n"/>
      <c r="Q408" s="39" t="n"/>
      <c r="R408" s="22" t="n"/>
      <c r="S408" s="105" t="n"/>
      <c r="T408" s="105" t="n"/>
      <c r="U408" s="105" t="n"/>
      <c r="V408" s="105" t="n"/>
      <c r="W408" s="105" t="n"/>
      <c r="X408" s="105" t="n"/>
      <c r="Y408" s="105" t="n"/>
      <c r="Z408" s="105" t="n"/>
      <c r="AA408" s="105" t="n"/>
      <c r="AB408" s="22" t="n"/>
      <c r="AC408" s="105" t="n"/>
      <c r="AD408" s="22" t="n"/>
      <c r="AE408" s="105" t="n"/>
      <c r="AF408" s="22" t="n"/>
      <c r="AG408" s="105" t="n"/>
      <c r="AH408" s="105" t="n"/>
      <c r="AI408" s="105" t="n"/>
      <c r="AJ408" s="105" t="n"/>
      <c r="AK408" s="21">
        <f>IF(Q408="ANULADA","N/A",IF(ABS(AJ408)&gt;10,"Pendiente",IF(MAX(AB408,AD408,AF408)=0,"Pendiente",MAX(0,MAX(AB408,AD408,AF408)-O408))))</f>
        <v/>
      </c>
    </row>
    <row r="409" hidden="1" ht="15" customHeight="1">
      <c r="A409" s="22" t="n"/>
      <c r="B409" s="22" t="n"/>
      <c r="C409" s="22" t="n"/>
      <c r="D409" s="13" t="n"/>
      <c r="E409" s="13" t="n"/>
      <c r="F409" s="13" t="n"/>
      <c r="G409" s="13" t="n"/>
      <c r="H409" s="23" t="n"/>
      <c r="I409" s="104" t="n"/>
      <c r="J409" s="105" t="n"/>
      <c r="K409" s="105" t="n"/>
      <c r="L409" s="13" t="n"/>
      <c r="M409" s="22" t="n"/>
      <c r="N409" s="24" t="n"/>
      <c r="O409" s="106" t="n"/>
      <c r="P409" s="22" t="n"/>
      <c r="Q409" s="22" t="n"/>
      <c r="R409" s="22" t="n"/>
      <c r="S409" s="105" t="n"/>
      <c r="T409" s="105" t="n"/>
      <c r="U409" s="105" t="n"/>
      <c r="V409" s="105" t="n"/>
      <c r="W409" s="105" t="n"/>
      <c r="X409" s="105" t="n"/>
      <c r="Y409" s="105" t="n"/>
      <c r="Z409" s="105" t="n"/>
      <c r="AA409" s="105" t="n"/>
      <c r="AB409" s="22" t="n"/>
      <c r="AC409" s="105" t="n"/>
      <c r="AD409" s="22" t="n"/>
      <c r="AE409" s="105" t="n"/>
      <c r="AF409" s="22" t="n"/>
      <c r="AG409" s="105" t="n"/>
      <c r="AH409" s="105" t="n"/>
      <c r="AI409" s="105" t="n"/>
      <c r="AJ409" s="105" t="n"/>
      <c r="AK409" s="21">
        <f>IF(Q409="ANULADA","N/A",IF(ABS(AJ409)&gt;10,"Pendiente",IF(MAX(AB409,AD409,AF409)=0,"Pendiente",MAX(0,MAX(AB409,AD409,AF409)-O409))))</f>
        <v/>
      </c>
    </row>
    <row r="410" hidden="1" ht="15" customHeight="1">
      <c r="A410" s="22" t="n"/>
      <c r="B410" s="22" t="n"/>
      <c r="C410" s="22" t="n"/>
      <c r="D410" s="13" t="n"/>
      <c r="E410" s="13" t="n"/>
      <c r="F410" s="13" t="n"/>
      <c r="G410" s="13" t="n"/>
      <c r="H410" s="23" t="n"/>
      <c r="I410" s="104" t="n"/>
      <c r="J410" s="105" t="n"/>
      <c r="K410" s="105" t="n"/>
      <c r="L410" s="13" t="n"/>
      <c r="M410" s="22" t="n"/>
      <c r="N410" s="24" t="n"/>
      <c r="O410" s="106" t="n"/>
      <c r="P410" s="22" t="n"/>
      <c r="Q410" s="22" t="n"/>
      <c r="R410" s="22" t="n"/>
      <c r="S410" s="105" t="n"/>
      <c r="T410" s="105" t="n"/>
      <c r="U410" s="105" t="n"/>
      <c r="V410" s="105" t="n"/>
      <c r="W410" s="105" t="n"/>
      <c r="X410" s="105" t="n"/>
      <c r="Y410" s="105" t="n"/>
      <c r="Z410" s="105" t="n"/>
      <c r="AA410" s="105" t="n"/>
      <c r="AB410" s="22" t="n"/>
      <c r="AC410" s="105" t="n"/>
      <c r="AD410" s="22" t="n"/>
      <c r="AE410" s="105" t="n"/>
      <c r="AF410" s="22" t="n"/>
      <c r="AG410" s="105" t="n"/>
      <c r="AH410" s="105" t="n"/>
      <c r="AI410" s="105" t="n"/>
      <c r="AJ410" s="105" t="n"/>
      <c r="AK410" s="21">
        <f>IF(Q410="ANULADA","N/A",IF(ABS(AJ410)&gt;10,"Pendiente",IF(MAX(AB410,AD410,AF410)=0,"Pendiente",MAX(0,MAX(AB410,AD410,AF410)-O410))))</f>
        <v/>
      </c>
    </row>
    <row r="411" hidden="1" ht="15" customHeight="1">
      <c r="A411" s="22" t="n"/>
      <c r="B411" s="22" t="n"/>
      <c r="C411" s="22" t="n"/>
      <c r="D411" s="13" t="n"/>
      <c r="E411" s="13" t="n"/>
      <c r="F411" s="13" t="n"/>
      <c r="G411" s="13" t="n"/>
      <c r="H411" s="23" t="n"/>
      <c r="I411" s="104" t="n"/>
      <c r="J411" s="105" t="n"/>
      <c r="K411" s="105" t="n"/>
      <c r="L411" s="13" t="n"/>
      <c r="M411" s="22" t="n"/>
      <c r="N411" s="24" t="n"/>
      <c r="O411" s="106" t="n"/>
      <c r="P411" s="22" t="n"/>
      <c r="Q411" s="22" t="n"/>
      <c r="R411" s="22" t="n"/>
      <c r="S411" s="105" t="n"/>
      <c r="T411" s="105" t="n"/>
      <c r="U411" s="105" t="n"/>
      <c r="V411" s="105" t="n"/>
      <c r="W411" s="105" t="n"/>
      <c r="X411" s="105" t="n"/>
      <c r="Y411" s="105" t="n"/>
      <c r="Z411" s="105" t="n"/>
      <c r="AA411" s="105" t="n"/>
      <c r="AB411" s="22" t="n"/>
      <c r="AC411" s="105" t="n"/>
      <c r="AD411" s="22" t="n"/>
      <c r="AE411" s="105" t="n"/>
      <c r="AF411" s="22" t="n"/>
      <c r="AG411" s="105" t="n"/>
      <c r="AH411" s="105" t="n"/>
      <c r="AI411" s="105" t="n"/>
      <c r="AJ411" s="105" t="n"/>
      <c r="AK411" s="21">
        <f>IF(Q411="ANULADA","N/A",IF(ABS(AJ411)&gt;10,"Pendiente",IF(MAX(AB411,AD411,AF411)=0,"Pendiente",MAX(0,MAX(AB411,AD411,AF411)-O411))))</f>
        <v/>
      </c>
    </row>
    <row r="412" hidden="1" ht="15" customHeight="1">
      <c r="A412" s="22" t="n"/>
      <c r="B412" s="22" t="n"/>
      <c r="C412" s="22" t="n"/>
      <c r="D412" s="13" t="n"/>
      <c r="E412" s="13" t="n"/>
      <c r="F412" s="13" t="n"/>
      <c r="G412" s="13" t="n"/>
      <c r="H412" s="23" t="n"/>
      <c r="I412" s="104" t="n"/>
      <c r="J412" s="105" t="n"/>
      <c r="K412" s="105" t="n"/>
      <c r="L412" s="13" t="n"/>
      <c r="M412" s="22" t="n"/>
      <c r="N412" s="24" t="n"/>
      <c r="O412" s="106" t="n"/>
      <c r="P412" s="22" t="n"/>
      <c r="Q412" s="39" t="n"/>
      <c r="R412" s="22" t="n"/>
      <c r="S412" s="105" t="n"/>
      <c r="T412" s="105" t="n"/>
      <c r="U412" s="105" t="n"/>
      <c r="V412" s="105" t="n"/>
      <c r="W412" s="105" t="n"/>
      <c r="X412" s="105" t="n"/>
      <c r="Y412" s="105" t="n"/>
      <c r="Z412" s="105" t="n"/>
      <c r="AA412" s="105" t="n"/>
      <c r="AB412" s="22" t="n"/>
      <c r="AC412" s="105" t="n"/>
      <c r="AD412" s="22" t="n"/>
      <c r="AE412" s="105" t="n"/>
      <c r="AF412" s="22" t="n"/>
      <c r="AG412" s="105" t="n"/>
      <c r="AH412" s="105" t="n"/>
      <c r="AI412" s="105" t="n"/>
      <c r="AJ412" s="105" t="n"/>
      <c r="AK412" s="21">
        <f>IF(Q412="ANULADA","N/A",IF(ABS(AJ412)&gt;10,"Pendiente",IF(MAX(AB412,AD412,AF412)=0,"Pendiente",MAX(0,MAX(AB412,AD412,AF412)-O412))))</f>
        <v/>
      </c>
    </row>
    <row r="413" hidden="1" ht="15" customHeight="1">
      <c r="A413" s="22" t="n"/>
      <c r="B413" s="22" t="n"/>
      <c r="C413" s="22" t="n"/>
      <c r="D413" s="13" t="n"/>
      <c r="E413" s="13" t="n"/>
      <c r="F413" s="13" t="n"/>
      <c r="G413" s="13" t="n"/>
      <c r="H413" s="23" t="n"/>
      <c r="I413" s="104" t="n"/>
      <c r="J413" s="105" t="n"/>
      <c r="K413" s="105" t="n"/>
      <c r="L413" s="13" t="n"/>
      <c r="M413" s="22" t="n"/>
      <c r="N413" s="24" t="n"/>
      <c r="O413" s="106" t="n"/>
      <c r="P413" s="22" t="n"/>
      <c r="Q413" s="22" t="n"/>
      <c r="R413" s="22" t="n"/>
      <c r="S413" s="105" t="n"/>
      <c r="T413" s="105" t="n"/>
      <c r="U413" s="105" t="n"/>
      <c r="V413" s="105" t="n"/>
      <c r="W413" s="105" t="n"/>
      <c r="X413" s="105" t="n"/>
      <c r="Y413" s="105" t="n"/>
      <c r="Z413" s="105" t="n"/>
      <c r="AA413" s="105" t="n"/>
      <c r="AB413" s="22" t="n"/>
      <c r="AC413" s="105" t="n"/>
      <c r="AD413" s="22" t="n"/>
      <c r="AE413" s="105" t="n"/>
      <c r="AF413" s="22" t="n"/>
      <c r="AG413" s="105" t="n"/>
      <c r="AH413" s="105" t="n"/>
      <c r="AI413" s="105" t="n"/>
      <c r="AJ413" s="105" t="n"/>
      <c r="AK413" s="21">
        <f>IF(Q413="ANULADA","N/A",IF(ABS(AJ413)&gt;10,"Pendiente",IF(MAX(AB413,AD413,AF413)=0,"Pendiente",MAX(0,MAX(AB413,AD413,AF413)-O413))))</f>
        <v/>
      </c>
    </row>
    <row r="414" hidden="1" ht="15" customHeight="1">
      <c r="A414" s="22" t="n"/>
      <c r="B414" s="22" t="n"/>
      <c r="C414" s="22" t="n"/>
      <c r="D414" s="13" t="n"/>
      <c r="E414" s="13" t="n"/>
      <c r="F414" s="13" t="n"/>
      <c r="G414" s="13" t="n"/>
      <c r="H414" s="23" t="n"/>
      <c r="I414" s="104" t="n"/>
      <c r="J414" s="105" t="n"/>
      <c r="K414" s="105" t="n"/>
      <c r="L414" s="13" t="n"/>
      <c r="M414" s="22" t="n"/>
      <c r="N414" s="24" t="n"/>
      <c r="O414" s="106" t="n"/>
      <c r="P414" s="22" t="n"/>
      <c r="Q414" s="39" t="n"/>
      <c r="R414" s="22" t="n"/>
      <c r="S414" s="105" t="n"/>
      <c r="T414" s="105" t="n"/>
      <c r="U414" s="105" t="n"/>
      <c r="V414" s="105" t="n"/>
      <c r="W414" s="105" t="n"/>
      <c r="X414" s="105" t="n"/>
      <c r="Y414" s="105" t="n"/>
      <c r="Z414" s="105" t="n"/>
      <c r="AA414" s="105" t="n"/>
      <c r="AB414" s="22" t="n"/>
      <c r="AC414" s="105" t="n"/>
      <c r="AD414" s="22" t="n"/>
      <c r="AE414" s="105" t="n"/>
      <c r="AF414" s="22" t="n"/>
      <c r="AG414" s="105" t="n"/>
      <c r="AH414" s="105" t="n"/>
      <c r="AI414" s="105" t="n"/>
      <c r="AJ414" s="105" t="n"/>
      <c r="AK414" s="21">
        <f>IF(Q414="ANULADA","N/A",IF(ABS(AJ414)&gt;10,"Pendiente",IF(MAX(AB414,AD414,AF414)=0,"Pendiente",MAX(0,MAX(AB414,AD414,AF414)-O414))))</f>
        <v/>
      </c>
    </row>
    <row r="415" hidden="1" ht="15" customHeight="1">
      <c r="A415" s="22" t="n"/>
      <c r="B415" s="22" t="n"/>
      <c r="C415" s="22" t="n"/>
      <c r="D415" s="13" t="n"/>
      <c r="E415" s="13" t="n"/>
      <c r="F415" s="13" t="n"/>
      <c r="G415" s="13" t="n"/>
      <c r="H415" s="23" t="n"/>
      <c r="I415" s="104" t="n"/>
      <c r="J415" s="105" t="n"/>
      <c r="K415" s="105" t="n"/>
      <c r="L415" s="13" t="n"/>
      <c r="M415" s="22" t="n"/>
      <c r="N415" s="24" t="n"/>
      <c r="O415" s="106" t="n"/>
      <c r="P415" s="22" t="n"/>
      <c r="Q415" s="39" t="n"/>
      <c r="R415" s="22" t="n"/>
      <c r="S415" s="105" t="n"/>
      <c r="T415" s="105" t="n"/>
      <c r="U415" s="105" t="n"/>
      <c r="V415" s="105" t="n"/>
      <c r="W415" s="105" t="n"/>
      <c r="X415" s="105" t="n"/>
      <c r="Y415" s="105" t="n"/>
      <c r="Z415" s="105" t="n"/>
      <c r="AA415" s="105" t="n"/>
      <c r="AB415" s="22" t="n"/>
      <c r="AC415" s="105" t="n"/>
      <c r="AD415" s="22" t="n"/>
      <c r="AE415" s="105" t="n"/>
      <c r="AF415" s="22" t="n"/>
      <c r="AG415" s="105" t="n"/>
      <c r="AH415" s="105" t="n"/>
      <c r="AI415" s="105" t="n"/>
      <c r="AJ415" s="105" t="n"/>
      <c r="AK415" s="21">
        <f>IF(Q415="ANULADA","N/A",IF(ABS(AJ415)&gt;10,"Pendiente",IF(MAX(AB415,AD415,AF415)=0,"Pendiente",MAX(0,MAX(AB415,AD415,AF415)-O415))))</f>
        <v/>
      </c>
    </row>
    <row r="416" hidden="1" ht="15" customHeight="1">
      <c r="A416" s="22" t="n"/>
      <c r="B416" s="22" t="n"/>
      <c r="C416" s="22" t="n"/>
      <c r="D416" s="13" t="n"/>
      <c r="E416" s="13" t="n"/>
      <c r="F416" s="13" t="n"/>
      <c r="G416" s="13" t="n"/>
      <c r="H416" s="23" t="n"/>
      <c r="I416" s="104" t="n"/>
      <c r="J416" s="105" t="n"/>
      <c r="K416" s="105" t="n"/>
      <c r="L416" s="13" t="n"/>
      <c r="M416" s="22" t="n"/>
      <c r="N416" s="24" t="n"/>
      <c r="O416" s="106" t="n"/>
      <c r="P416" s="22" t="n"/>
      <c r="Q416" s="22" t="n"/>
      <c r="R416" s="22" t="n"/>
      <c r="S416" s="105" t="n"/>
      <c r="T416" s="105" t="n"/>
      <c r="U416" s="105" t="n"/>
      <c r="V416" s="105" t="n"/>
      <c r="W416" s="105" t="n"/>
      <c r="X416" s="105" t="n"/>
      <c r="Y416" s="105" t="n"/>
      <c r="Z416" s="105" t="n"/>
      <c r="AA416" s="105" t="n"/>
      <c r="AB416" s="22" t="n"/>
      <c r="AC416" s="105" t="n"/>
      <c r="AD416" s="22" t="n"/>
      <c r="AE416" s="105" t="n"/>
      <c r="AF416" s="22" t="n"/>
      <c r="AG416" s="105" t="n"/>
      <c r="AH416" s="105" t="n"/>
      <c r="AI416" s="105" t="n"/>
      <c r="AJ416" s="105" t="n"/>
      <c r="AK416" s="21">
        <f>IF(Q416="ANULADA","N/A",IF(ABS(AJ416)&gt;10,"Pendiente",IF(MAX(AB416,AD416,AF416)=0,"Pendiente",MAX(0,MAX(AB416,AD416,AF416)-O416))))</f>
        <v/>
      </c>
    </row>
    <row r="417" hidden="1" ht="15" customHeight="1">
      <c r="A417" s="22" t="n"/>
      <c r="B417" s="22" t="n"/>
      <c r="C417" s="22" t="n"/>
      <c r="D417" s="13" t="n"/>
      <c r="E417" s="13" t="n"/>
      <c r="F417" s="13" t="n"/>
      <c r="G417" s="13" t="n"/>
      <c r="H417" s="23" t="n"/>
      <c r="I417" s="104" t="n"/>
      <c r="J417" s="105" t="n"/>
      <c r="K417" s="105" t="n"/>
      <c r="L417" s="13" t="n"/>
      <c r="M417" s="22" t="n"/>
      <c r="N417" s="24" t="n"/>
      <c r="O417" s="106" t="n"/>
      <c r="P417" s="22" t="n"/>
      <c r="Q417" s="22" t="n"/>
      <c r="R417" s="22" t="n"/>
      <c r="S417" s="105" t="n"/>
      <c r="T417" s="105" t="n"/>
      <c r="U417" s="105" t="n"/>
      <c r="V417" s="105" t="n"/>
      <c r="W417" s="105" t="n"/>
      <c r="X417" s="105" t="n"/>
      <c r="Y417" s="105" t="n"/>
      <c r="Z417" s="105" t="n"/>
      <c r="AA417" s="105" t="n"/>
      <c r="AB417" s="22" t="n"/>
      <c r="AC417" s="105" t="n"/>
      <c r="AD417" s="22" t="n"/>
      <c r="AE417" s="105" t="n"/>
      <c r="AF417" s="22" t="n"/>
      <c r="AG417" s="105" t="n"/>
      <c r="AH417" s="105" t="n"/>
      <c r="AI417" s="105" t="n"/>
      <c r="AJ417" s="105" t="n"/>
      <c r="AK417" s="21">
        <f>IF(Q417="ANULADA","N/A",IF(ABS(AJ417)&gt;10,"Pendiente",IF(MAX(AB417,AD417,AF417)=0,"Pendiente",MAX(0,MAX(AB417,AD417,AF417)-O417))))</f>
        <v/>
      </c>
    </row>
    <row r="418" hidden="1" ht="15" customHeight="1">
      <c r="A418" s="22" t="n"/>
      <c r="B418" s="22" t="n"/>
      <c r="C418" s="22" t="n"/>
      <c r="D418" s="13" t="n"/>
      <c r="E418" s="13" t="n"/>
      <c r="F418" s="13" t="n"/>
      <c r="G418" s="13" t="n"/>
      <c r="H418" s="23" t="n"/>
      <c r="I418" s="104" t="n"/>
      <c r="J418" s="105" t="n"/>
      <c r="K418" s="105" t="n"/>
      <c r="L418" s="13" t="n"/>
      <c r="M418" s="22" t="n"/>
      <c r="N418" s="24" t="n"/>
      <c r="O418" s="106" t="n"/>
      <c r="P418" s="22" t="n"/>
      <c r="Q418" s="22" t="n"/>
      <c r="R418" s="22" t="n"/>
      <c r="S418" s="105" t="n"/>
      <c r="T418" s="105" t="n"/>
      <c r="U418" s="105" t="n"/>
      <c r="V418" s="105" t="n"/>
      <c r="W418" s="105" t="n"/>
      <c r="X418" s="105" t="n"/>
      <c r="Y418" s="105" t="n"/>
      <c r="Z418" s="105" t="n"/>
      <c r="AA418" s="105" t="n"/>
      <c r="AB418" s="22" t="n"/>
      <c r="AC418" s="105" t="n"/>
      <c r="AD418" s="22" t="n"/>
      <c r="AE418" s="105" t="n"/>
      <c r="AF418" s="22" t="n"/>
      <c r="AG418" s="105" t="n"/>
      <c r="AH418" s="105" t="n"/>
      <c r="AI418" s="105" t="n"/>
      <c r="AJ418" s="105" t="n"/>
      <c r="AK418" s="21">
        <f>IF(Q418="ANULADA","N/A",IF(ABS(AJ418)&gt;10,"Pendiente",IF(MAX(AB418,AD418,AF418)=0,"Pendiente",MAX(0,MAX(AB418,AD418,AF418)-O418))))</f>
        <v/>
      </c>
    </row>
    <row r="419" hidden="1" ht="15" customHeight="1">
      <c r="A419" s="22" t="n"/>
      <c r="B419" s="22" t="n"/>
      <c r="C419" s="22" t="n"/>
      <c r="D419" s="13" t="n"/>
      <c r="E419" s="13" t="n"/>
      <c r="F419" s="13" t="n"/>
      <c r="G419" s="13" t="n"/>
      <c r="H419" s="23" t="n"/>
      <c r="I419" s="104" t="n"/>
      <c r="J419" s="105" t="n"/>
      <c r="K419" s="105" t="n"/>
      <c r="L419" s="13" t="n"/>
      <c r="M419" s="22" t="n"/>
      <c r="N419" s="24" t="n"/>
      <c r="O419" s="106" t="n"/>
      <c r="P419" s="22" t="n"/>
      <c r="Q419" s="39" t="n"/>
      <c r="R419" s="22" t="n"/>
      <c r="S419" s="105" t="n"/>
      <c r="T419" s="105" t="n"/>
      <c r="U419" s="105" t="n"/>
      <c r="V419" s="105" t="n"/>
      <c r="W419" s="105" t="n"/>
      <c r="X419" s="105" t="n"/>
      <c r="Y419" s="105" t="n"/>
      <c r="Z419" s="105" t="n"/>
      <c r="AA419" s="105" t="n"/>
      <c r="AB419" s="22" t="n"/>
      <c r="AC419" s="105" t="n"/>
      <c r="AD419" s="22" t="n"/>
      <c r="AE419" s="105" t="n"/>
      <c r="AF419" s="22" t="n"/>
      <c r="AG419" s="105" t="n"/>
      <c r="AH419" s="105" t="n"/>
      <c r="AI419" s="105" t="n"/>
      <c r="AJ419" s="105" t="n"/>
      <c r="AK419" s="21">
        <f>IF(Q419="ANULADA","N/A",IF(ABS(AJ419)&gt;10,"Pendiente",IF(MAX(AB419,AD419,AF419)=0,"Pendiente",MAX(0,MAX(AB419,AD419,AF419)-O419))))</f>
        <v/>
      </c>
    </row>
    <row r="420" hidden="1" ht="15" customHeight="1">
      <c r="A420" s="22" t="n"/>
      <c r="B420" s="22" t="n"/>
      <c r="C420" s="22" t="n"/>
      <c r="D420" s="13" t="n"/>
      <c r="E420" s="13" t="n"/>
      <c r="F420" s="13" t="n"/>
      <c r="G420" s="13" t="n"/>
      <c r="H420" s="23" t="n"/>
      <c r="I420" s="104" t="n"/>
      <c r="J420" s="105" t="n"/>
      <c r="K420" s="105" t="n"/>
      <c r="L420" s="13" t="n"/>
      <c r="M420" s="22" t="n"/>
      <c r="N420" s="24" t="n"/>
      <c r="O420" s="106" t="n"/>
      <c r="P420" s="22" t="n"/>
      <c r="Q420" s="22" t="n"/>
      <c r="R420" s="22" t="n"/>
      <c r="S420" s="105" t="n"/>
      <c r="T420" s="105" t="n"/>
      <c r="U420" s="105" t="n"/>
      <c r="V420" s="105" t="n"/>
      <c r="W420" s="105" t="n"/>
      <c r="X420" s="105" t="n"/>
      <c r="Y420" s="105" t="n"/>
      <c r="Z420" s="105" t="n"/>
      <c r="AA420" s="105" t="n"/>
      <c r="AB420" s="22" t="n"/>
      <c r="AC420" s="105" t="n"/>
      <c r="AD420" s="22" t="n"/>
      <c r="AE420" s="105" t="n"/>
      <c r="AF420" s="22" t="n"/>
      <c r="AG420" s="105" t="n"/>
      <c r="AH420" s="105" t="n"/>
      <c r="AI420" s="105" t="n"/>
      <c r="AJ420" s="105" t="n"/>
      <c r="AK420" s="21">
        <f>IF(Q420="ANULADA","N/A",IF(ABS(AJ420)&gt;10,"Pendiente",IF(MAX(AB420,AD420,AF420)=0,"Pendiente",MAX(0,MAX(AB420,AD420,AF420)-O420))))</f>
        <v/>
      </c>
    </row>
    <row r="421" hidden="1" ht="15" customHeight="1">
      <c r="A421" s="22" t="n"/>
      <c r="B421" s="22" t="n"/>
      <c r="C421" s="22" t="n"/>
      <c r="D421" s="13" t="n"/>
      <c r="E421" s="13" t="n"/>
      <c r="F421" s="13" t="n"/>
      <c r="G421" s="13" t="n"/>
      <c r="H421" s="23" t="n"/>
      <c r="I421" s="104" t="n"/>
      <c r="J421" s="105" t="n"/>
      <c r="K421" s="105" t="n"/>
      <c r="L421" s="13" t="n"/>
      <c r="M421" s="22" t="n"/>
      <c r="N421" s="24" t="n"/>
      <c r="O421" s="106" t="n"/>
      <c r="P421" s="22" t="n"/>
      <c r="Q421" s="39" t="n"/>
      <c r="R421" s="22" t="n"/>
      <c r="S421" s="105" t="n"/>
      <c r="T421" s="105" t="n"/>
      <c r="U421" s="105" t="n"/>
      <c r="V421" s="105" t="n"/>
      <c r="W421" s="105" t="n"/>
      <c r="X421" s="105" t="n"/>
      <c r="Y421" s="105" t="n"/>
      <c r="Z421" s="105" t="n"/>
      <c r="AA421" s="105" t="n"/>
      <c r="AB421" s="22" t="n"/>
      <c r="AC421" s="105" t="n"/>
      <c r="AD421" s="22" t="n"/>
      <c r="AE421" s="105" t="n"/>
      <c r="AF421" s="22" t="n"/>
      <c r="AG421" s="105" t="n"/>
      <c r="AH421" s="105" t="n"/>
      <c r="AI421" s="105" t="n"/>
      <c r="AJ421" s="105" t="n"/>
      <c r="AK421" s="21">
        <f>IF(Q421="ANULADA","N/A",IF(ABS(AJ421)&gt;10,"Pendiente",IF(MAX(AB421,AD421,AF421)=0,"Pendiente",MAX(0,MAX(AB421,AD421,AF421)-O421))))</f>
        <v/>
      </c>
    </row>
    <row r="422" hidden="1" ht="15" customHeight="1">
      <c r="A422" s="22" t="n"/>
      <c r="B422" s="22" t="n"/>
      <c r="C422" s="22" t="n"/>
      <c r="D422" s="13" t="n"/>
      <c r="E422" s="13" t="n"/>
      <c r="F422" s="13" t="n"/>
      <c r="G422" s="13" t="n"/>
      <c r="H422" s="23" t="n"/>
      <c r="I422" s="104" t="n"/>
      <c r="J422" s="105" t="n"/>
      <c r="K422" s="105" t="n"/>
      <c r="L422" s="13" t="n"/>
      <c r="M422" s="22" t="n"/>
      <c r="N422" s="24" t="n"/>
      <c r="O422" s="106" t="n"/>
      <c r="P422" s="22" t="n"/>
      <c r="Q422" s="39" t="n"/>
      <c r="R422" s="22" t="n"/>
      <c r="S422" s="105" t="n"/>
      <c r="T422" s="105" t="n"/>
      <c r="U422" s="105" t="n"/>
      <c r="V422" s="105" t="n"/>
      <c r="W422" s="105" t="n"/>
      <c r="X422" s="105" t="n"/>
      <c r="Y422" s="105" t="n"/>
      <c r="Z422" s="105" t="n"/>
      <c r="AA422" s="105" t="n"/>
      <c r="AB422" s="22" t="n"/>
      <c r="AC422" s="105" t="n"/>
      <c r="AD422" s="22" t="n"/>
      <c r="AE422" s="105" t="n"/>
      <c r="AF422" s="22" t="n"/>
      <c r="AG422" s="105" t="n"/>
      <c r="AH422" s="105" t="n"/>
      <c r="AI422" s="105" t="n"/>
      <c r="AJ422" s="105" t="n"/>
      <c r="AK422" s="21">
        <f>IF(Q422="ANULADA","N/A",IF(ABS(AJ422)&gt;10,"Pendiente",IF(MAX(AB422,AD422,AF422)=0,"Pendiente",MAX(0,MAX(AB422,AD422,AF422)-O422))))</f>
        <v/>
      </c>
    </row>
    <row r="423" hidden="1" ht="15" customHeight="1">
      <c r="A423" s="22" t="n"/>
      <c r="B423" s="22" t="n"/>
      <c r="C423" s="22" t="n"/>
      <c r="D423" s="13" t="n"/>
      <c r="E423" s="13" t="n"/>
      <c r="F423" s="13" t="n"/>
      <c r="G423" s="13" t="n"/>
      <c r="H423" s="23" t="n"/>
      <c r="I423" s="104" t="n"/>
      <c r="J423" s="105" t="n"/>
      <c r="K423" s="105" t="n"/>
      <c r="L423" s="13" t="n"/>
      <c r="M423" s="22" t="n"/>
      <c r="N423" s="24" t="n"/>
      <c r="O423" s="106" t="n"/>
      <c r="P423" s="22" t="n"/>
      <c r="Q423" s="22" t="n"/>
      <c r="R423" s="22" t="n"/>
      <c r="S423" s="105" t="n"/>
      <c r="T423" s="105" t="n"/>
      <c r="U423" s="105" t="n"/>
      <c r="V423" s="105" t="n"/>
      <c r="W423" s="105" t="n"/>
      <c r="X423" s="105" t="n"/>
      <c r="Y423" s="105" t="n"/>
      <c r="Z423" s="105" t="n"/>
      <c r="AA423" s="105" t="n"/>
      <c r="AB423" s="22" t="n"/>
      <c r="AC423" s="105" t="n"/>
      <c r="AD423" s="22" t="n"/>
      <c r="AE423" s="105" t="n"/>
      <c r="AF423" s="22" t="n"/>
      <c r="AG423" s="105" t="n"/>
      <c r="AH423" s="105" t="n"/>
      <c r="AI423" s="105" t="n"/>
      <c r="AJ423" s="105" t="n"/>
      <c r="AK423" s="21">
        <f>IF(Q423="ANULADA","N/A",IF(ABS(AJ423)&gt;10,"Pendiente",IF(MAX(AB423,AD423,AF423)=0,"Pendiente",MAX(0,MAX(AB423,AD423,AF423)-O423))))</f>
        <v/>
      </c>
    </row>
    <row r="424" hidden="1" ht="15" customHeight="1">
      <c r="A424" s="22" t="n"/>
      <c r="B424" s="22" t="n"/>
      <c r="C424" s="22" t="n"/>
      <c r="D424" s="13" t="n"/>
      <c r="E424" s="13" t="n"/>
      <c r="F424" s="13" t="n"/>
      <c r="G424" s="13" t="n"/>
      <c r="H424" s="23" t="n"/>
      <c r="I424" s="104" t="n"/>
      <c r="J424" s="105" t="n"/>
      <c r="K424" s="105" t="n"/>
      <c r="L424" s="13" t="n"/>
      <c r="M424" s="22" t="n"/>
      <c r="N424" s="24" t="n"/>
      <c r="O424" s="106" t="n"/>
      <c r="P424" s="22" t="n"/>
      <c r="Q424" s="22" t="n"/>
      <c r="R424" s="22" t="n"/>
      <c r="S424" s="105" t="n"/>
      <c r="T424" s="105" t="n"/>
      <c r="U424" s="105" t="n"/>
      <c r="V424" s="105" t="n"/>
      <c r="W424" s="105" t="n"/>
      <c r="X424" s="105" t="n"/>
      <c r="Y424" s="105" t="n"/>
      <c r="Z424" s="105" t="n"/>
      <c r="AA424" s="105" t="n"/>
      <c r="AB424" s="22" t="n"/>
      <c r="AC424" s="105" t="n"/>
      <c r="AD424" s="22" t="n"/>
      <c r="AE424" s="105" t="n"/>
      <c r="AF424" s="22" t="n"/>
      <c r="AG424" s="105" t="n"/>
      <c r="AH424" s="105" t="n"/>
      <c r="AI424" s="105" t="n"/>
      <c r="AJ424" s="105" t="n"/>
      <c r="AK424" s="21">
        <f>IF(Q424="ANULADA","N/A",IF(ABS(AJ424)&gt;10,"Pendiente",IF(MAX(AB424,AD424,AF424)=0,"Pendiente",MAX(0,MAX(AB424,AD424,AF424)-O424))))</f>
        <v/>
      </c>
    </row>
    <row r="425" hidden="1" ht="15" customHeight="1">
      <c r="A425" s="22" t="n"/>
      <c r="B425" s="22" t="n"/>
      <c r="C425" s="22" t="n"/>
      <c r="D425" s="13" t="n"/>
      <c r="E425" s="13" t="n"/>
      <c r="F425" s="13" t="n"/>
      <c r="G425" s="13" t="n"/>
      <c r="H425" s="23" t="n"/>
      <c r="I425" s="104" t="n"/>
      <c r="J425" s="105" t="n"/>
      <c r="K425" s="105" t="n"/>
      <c r="L425" s="13" t="n"/>
      <c r="M425" s="22" t="n"/>
      <c r="N425" s="24" t="n"/>
      <c r="O425" s="106" t="n"/>
      <c r="P425" s="22" t="n"/>
      <c r="Q425" s="22" t="n"/>
      <c r="R425" s="22" t="n"/>
      <c r="S425" s="105" t="n"/>
      <c r="T425" s="105" t="n"/>
      <c r="U425" s="105" t="n"/>
      <c r="V425" s="105" t="n"/>
      <c r="W425" s="105" t="n"/>
      <c r="X425" s="105" t="n"/>
      <c r="Y425" s="105" t="n"/>
      <c r="Z425" s="105" t="n"/>
      <c r="AA425" s="105" t="n"/>
      <c r="AB425" s="22" t="n"/>
      <c r="AC425" s="105" t="n"/>
      <c r="AD425" s="22" t="n"/>
      <c r="AE425" s="105" t="n"/>
      <c r="AF425" s="22" t="n"/>
      <c r="AG425" s="105" t="n"/>
      <c r="AH425" s="105" t="n"/>
      <c r="AI425" s="105" t="n"/>
      <c r="AJ425" s="105" t="n"/>
      <c r="AK425" s="21">
        <f>IF(Q425="ANULADA","N/A",IF(ABS(AJ425)&gt;10,"Pendiente",IF(MAX(AB425,AD425,AF425)=0,"Pendiente",MAX(0,MAX(AB425,AD425,AF425)-O425))))</f>
        <v/>
      </c>
    </row>
    <row r="426" hidden="1" ht="15" customHeight="1">
      <c r="A426" s="22" t="n"/>
      <c r="B426" s="22" t="n"/>
      <c r="C426" s="22" t="n"/>
      <c r="D426" s="13" t="n"/>
      <c r="E426" s="13" t="n"/>
      <c r="F426" s="13" t="n"/>
      <c r="G426" s="13" t="n"/>
      <c r="H426" s="23" t="n"/>
      <c r="I426" s="104" t="n"/>
      <c r="J426" s="105" t="n"/>
      <c r="K426" s="105" t="n"/>
      <c r="L426" s="13" t="n"/>
      <c r="M426" s="22" t="n"/>
      <c r="N426" s="24" t="n"/>
      <c r="O426" s="106" t="n"/>
      <c r="P426" s="22" t="n"/>
      <c r="Q426" s="39" t="n"/>
      <c r="R426" s="22" t="n"/>
      <c r="S426" s="105" t="n"/>
      <c r="T426" s="105" t="n"/>
      <c r="U426" s="105" t="n"/>
      <c r="V426" s="105" t="n"/>
      <c r="W426" s="105" t="n"/>
      <c r="X426" s="105" t="n"/>
      <c r="Y426" s="105" t="n"/>
      <c r="Z426" s="105" t="n"/>
      <c r="AA426" s="105" t="n"/>
      <c r="AB426" s="22" t="n"/>
      <c r="AC426" s="105" t="n"/>
      <c r="AD426" s="22" t="n"/>
      <c r="AE426" s="105" t="n"/>
      <c r="AF426" s="22" t="n"/>
      <c r="AG426" s="105" t="n"/>
      <c r="AH426" s="105" t="n"/>
      <c r="AI426" s="105" t="n"/>
      <c r="AJ426" s="105" t="n"/>
      <c r="AK426" s="21">
        <f>IF(Q426="ANULADA","N/A",IF(ABS(AJ426)&gt;10,"Pendiente",IF(MAX(AB426,AD426,AF426)=0,"Pendiente",MAX(0,MAX(AB426,AD426,AF426)-O426))))</f>
        <v/>
      </c>
    </row>
    <row r="427" hidden="1" ht="15" customHeight="1">
      <c r="A427" s="22" t="n"/>
      <c r="B427" s="22" t="n"/>
      <c r="C427" s="22" t="n"/>
      <c r="D427" s="13" t="n"/>
      <c r="E427" s="13" t="n"/>
      <c r="F427" s="13" t="n"/>
      <c r="G427" s="13" t="n"/>
      <c r="H427" s="23" t="n"/>
      <c r="I427" s="104" t="n"/>
      <c r="J427" s="105" t="n"/>
      <c r="K427" s="105" t="n"/>
      <c r="L427" s="13" t="n"/>
      <c r="M427" s="22" t="n"/>
      <c r="N427" s="24" t="n"/>
      <c r="O427" s="106" t="n"/>
      <c r="P427" s="22" t="n"/>
      <c r="Q427" s="22" t="n"/>
      <c r="R427" s="22" t="n"/>
      <c r="S427" s="105" t="n"/>
      <c r="T427" s="105" t="n"/>
      <c r="U427" s="105" t="n"/>
      <c r="V427" s="105" t="n"/>
      <c r="W427" s="105" t="n"/>
      <c r="X427" s="105" t="n"/>
      <c r="Y427" s="105" t="n"/>
      <c r="Z427" s="105" t="n"/>
      <c r="AA427" s="105" t="n"/>
      <c r="AB427" s="22" t="n"/>
      <c r="AC427" s="105" t="n"/>
      <c r="AD427" s="22" t="n"/>
      <c r="AE427" s="105" t="n"/>
      <c r="AF427" s="22" t="n"/>
      <c r="AG427" s="105" t="n"/>
      <c r="AH427" s="105" t="n"/>
      <c r="AI427" s="105" t="n"/>
      <c r="AJ427" s="105" t="n"/>
      <c r="AK427" s="21">
        <f>IF(Q427="ANULADA","N/A",IF(ABS(AJ427)&gt;10,"Pendiente",IF(MAX(AB427,AD427,AF427)=0,"Pendiente",MAX(0,MAX(AB427,AD427,AF427)-O427))))</f>
        <v/>
      </c>
    </row>
    <row r="428" hidden="1" ht="15" customHeight="1">
      <c r="A428" s="22" t="n"/>
      <c r="B428" s="22" t="n"/>
      <c r="C428" s="22" t="n"/>
      <c r="D428" s="13" t="n"/>
      <c r="E428" s="13" t="n"/>
      <c r="F428" s="13" t="n"/>
      <c r="G428" s="13" t="n"/>
      <c r="H428" s="23" t="n"/>
      <c r="I428" s="104" t="n"/>
      <c r="J428" s="105" t="n"/>
      <c r="K428" s="105" t="n"/>
      <c r="L428" s="13" t="n"/>
      <c r="M428" s="22" t="n"/>
      <c r="N428" s="24" t="n"/>
      <c r="O428" s="106" t="n"/>
      <c r="P428" s="22" t="n"/>
      <c r="Q428" s="39" t="n"/>
      <c r="R428" s="22" t="n"/>
      <c r="S428" s="105" t="n"/>
      <c r="T428" s="105" t="n"/>
      <c r="U428" s="105" t="n"/>
      <c r="V428" s="105" t="n"/>
      <c r="W428" s="105" t="n"/>
      <c r="X428" s="105" t="n"/>
      <c r="Y428" s="105" t="n"/>
      <c r="Z428" s="105" t="n"/>
      <c r="AA428" s="105" t="n"/>
      <c r="AB428" s="22" t="n"/>
      <c r="AC428" s="105" t="n"/>
      <c r="AD428" s="22" t="n"/>
      <c r="AE428" s="105" t="n"/>
      <c r="AF428" s="22" t="n"/>
      <c r="AG428" s="105" t="n"/>
      <c r="AH428" s="105" t="n"/>
      <c r="AI428" s="105" t="n"/>
      <c r="AJ428" s="105" t="n"/>
      <c r="AK428" s="21">
        <f>IF(Q428="ANULADA","N/A",IF(ABS(AJ428)&gt;10,"Pendiente",IF(MAX(AB428,AD428,AF428)=0,"Pendiente",MAX(0,MAX(AB428,AD428,AF428)-O428))))</f>
        <v/>
      </c>
    </row>
    <row r="429" hidden="1" ht="15" customHeight="1">
      <c r="A429" s="22" t="n"/>
      <c r="B429" s="22" t="n"/>
      <c r="C429" s="22" t="n"/>
      <c r="D429" s="13" t="n"/>
      <c r="E429" s="13" t="n"/>
      <c r="F429" s="13" t="n"/>
      <c r="G429" s="13" t="n"/>
      <c r="H429" s="23" t="n"/>
      <c r="I429" s="104" t="n"/>
      <c r="J429" s="105" t="n"/>
      <c r="K429" s="105" t="n"/>
      <c r="L429" s="13" t="n"/>
      <c r="M429" s="22" t="n"/>
      <c r="N429" s="24" t="n"/>
      <c r="O429" s="106" t="n"/>
      <c r="P429" s="22" t="n"/>
      <c r="Q429" s="39" t="n"/>
      <c r="R429" s="22" t="n"/>
      <c r="S429" s="105" t="n"/>
      <c r="T429" s="105" t="n"/>
      <c r="U429" s="105" t="n"/>
      <c r="V429" s="105" t="n"/>
      <c r="W429" s="105" t="n"/>
      <c r="X429" s="105" t="n"/>
      <c r="Y429" s="105" t="n"/>
      <c r="Z429" s="105" t="n"/>
      <c r="AA429" s="105" t="n"/>
      <c r="AB429" s="22" t="n"/>
      <c r="AC429" s="105" t="n"/>
      <c r="AD429" s="22" t="n"/>
      <c r="AE429" s="105" t="n"/>
      <c r="AF429" s="22" t="n"/>
      <c r="AG429" s="105" t="n"/>
      <c r="AH429" s="105" t="n"/>
      <c r="AI429" s="105" t="n"/>
      <c r="AJ429" s="105" t="n"/>
      <c r="AK429" s="21">
        <f>IF(Q429="ANULADA","N/A",IF(ABS(AJ429)&gt;10,"Pendiente",IF(MAX(AB429,AD429,AF429)=0,"Pendiente",MAX(0,MAX(AB429,AD429,AF429)-O429))))</f>
        <v/>
      </c>
    </row>
    <row r="430" hidden="1" ht="15" customHeight="1">
      <c r="A430" s="22" t="n"/>
      <c r="B430" s="22" t="n"/>
      <c r="C430" s="22" t="n"/>
      <c r="D430" s="13" t="n"/>
      <c r="E430" s="13" t="n"/>
      <c r="F430" s="13" t="n"/>
      <c r="G430" s="13" t="n"/>
      <c r="H430" s="23" t="n"/>
      <c r="I430" s="104" t="n"/>
      <c r="J430" s="105" t="n"/>
      <c r="K430" s="105" t="n"/>
      <c r="L430" s="13" t="n"/>
      <c r="M430" s="22" t="n"/>
      <c r="N430" s="24" t="n"/>
      <c r="O430" s="106" t="n"/>
      <c r="P430" s="22" t="n"/>
      <c r="Q430" s="22" t="n"/>
      <c r="R430" s="22" t="n"/>
      <c r="S430" s="105" t="n"/>
      <c r="T430" s="105" t="n"/>
      <c r="U430" s="105" t="n"/>
      <c r="V430" s="105" t="n"/>
      <c r="W430" s="105" t="n"/>
      <c r="X430" s="105" t="n"/>
      <c r="Y430" s="105" t="n"/>
      <c r="Z430" s="105" t="n"/>
      <c r="AA430" s="105" t="n"/>
      <c r="AB430" s="22" t="n"/>
      <c r="AC430" s="105" t="n"/>
      <c r="AD430" s="22" t="n"/>
      <c r="AE430" s="105" t="n"/>
      <c r="AF430" s="22" t="n"/>
      <c r="AG430" s="105" t="n"/>
      <c r="AH430" s="105" t="n"/>
      <c r="AI430" s="105" t="n"/>
      <c r="AJ430" s="105" t="n"/>
      <c r="AK430" s="21">
        <f>IF(Q430="ANULADA","N/A",IF(ABS(AJ430)&gt;10,"Pendiente",IF(MAX(AB430,AD430,AF430)=0,"Pendiente",MAX(0,MAX(AB430,AD430,AF430)-O430))))</f>
        <v/>
      </c>
    </row>
    <row r="431" hidden="1" ht="15" customHeight="1">
      <c r="A431" s="22" t="n"/>
      <c r="B431" s="22" t="n"/>
      <c r="C431" s="22" t="n"/>
      <c r="D431" s="13" t="n"/>
      <c r="E431" s="13" t="n"/>
      <c r="F431" s="13" t="n"/>
      <c r="G431" s="13" t="n"/>
      <c r="H431" s="23" t="n"/>
      <c r="I431" s="104" t="n"/>
      <c r="J431" s="105" t="n"/>
      <c r="K431" s="105" t="n"/>
      <c r="L431" s="13" t="n"/>
      <c r="M431" s="22" t="n"/>
      <c r="N431" s="24" t="n"/>
      <c r="O431" s="106" t="n"/>
      <c r="P431" s="22" t="n"/>
      <c r="Q431" s="22" t="n"/>
      <c r="R431" s="22" t="n"/>
      <c r="S431" s="105" t="n"/>
      <c r="T431" s="105" t="n"/>
      <c r="U431" s="105" t="n"/>
      <c r="V431" s="105" t="n"/>
      <c r="W431" s="105" t="n"/>
      <c r="X431" s="105" t="n"/>
      <c r="Y431" s="105" t="n"/>
      <c r="Z431" s="105" t="n"/>
      <c r="AA431" s="105" t="n"/>
      <c r="AB431" s="22" t="n"/>
      <c r="AC431" s="105" t="n"/>
      <c r="AD431" s="22" t="n"/>
      <c r="AE431" s="105" t="n"/>
      <c r="AF431" s="22" t="n"/>
      <c r="AG431" s="105" t="n"/>
      <c r="AH431" s="105" t="n"/>
      <c r="AI431" s="105" t="n"/>
      <c r="AJ431" s="105" t="n"/>
      <c r="AK431" s="21">
        <f>IF(Q431="ANULADA","N/A",IF(ABS(AJ431)&gt;10,"Pendiente",IF(MAX(AB431,AD431,AF431)=0,"Pendiente",MAX(0,MAX(AB431,AD431,AF431)-O431))))</f>
        <v/>
      </c>
    </row>
    <row r="432" hidden="1" ht="15" customHeight="1">
      <c r="A432" s="22" t="n"/>
      <c r="B432" s="22" t="n"/>
      <c r="C432" s="22" t="n"/>
      <c r="D432" s="13" t="n"/>
      <c r="E432" s="13" t="n"/>
      <c r="F432" s="13" t="n"/>
      <c r="G432" s="13" t="n"/>
      <c r="H432" s="23" t="n"/>
      <c r="I432" s="104" t="n"/>
      <c r="J432" s="105" t="n"/>
      <c r="K432" s="105" t="n"/>
      <c r="L432" s="13" t="n"/>
      <c r="M432" s="22" t="n"/>
      <c r="N432" s="24" t="n"/>
      <c r="O432" s="106" t="n"/>
      <c r="P432" s="22" t="n"/>
      <c r="Q432" s="22" t="n"/>
      <c r="R432" s="22" t="n"/>
      <c r="S432" s="105" t="n"/>
      <c r="T432" s="105" t="n"/>
      <c r="U432" s="105" t="n"/>
      <c r="V432" s="105" t="n"/>
      <c r="W432" s="105" t="n"/>
      <c r="X432" s="105" t="n"/>
      <c r="Y432" s="105" t="n"/>
      <c r="Z432" s="105" t="n"/>
      <c r="AA432" s="105" t="n"/>
      <c r="AB432" s="22" t="n"/>
      <c r="AC432" s="105" t="n"/>
      <c r="AD432" s="22" t="n"/>
      <c r="AE432" s="105" t="n"/>
      <c r="AF432" s="22" t="n"/>
      <c r="AG432" s="105" t="n"/>
      <c r="AH432" s="105" t="n"/>
      <c r="AI432" s="105" t="n"/>
      <c r="AJ432" s="105" t="n"/>
      <c r="AK432" s="21">
        <f>IF(Q432="ANULADA","N/A",IF(ABS(AJ432)&gt;10,"Pendiente",IF(MAX(AB432,AD432,AF432)=0,"Pendiente",MAX(0,MAX(AB432,AD432,AF432)-O432))))</f>
        <v/>
      </c>
    </row>
    <row r="433" hidden="1" ht="15" customHeight="1">
      <c r="A433" s="22" t="n"/>
      <c r="B433" s="22" t="n"/>
      <c r="C433" s="22" t="n"/>
      <c r="D433" s="13" t="n"/>
      <c r="E433" s="13" t="n"/>
      <c r="F433" s="13" t="n"/>
      <c r="G433" s="13" t="n"/>
      <c r="H433" s="23" t="n"/>
      <c r="I433" s="104" t="n"/>
      <c r="J433" s="105" t="n"/>
      <c r="K433" s="105" t="n"/>
      <c r="L433" s="13" t="n"/>
      <c r="M433" s="22" t="n"/>
      <c r="N433" s="24" t="n"/>
      <c r="O433" s="106" t="n"/>
      <c r="P433" s="22" t="n"/>
      <c r="Q433" s="39" t="n"/>
      <c r="R433" s="22" t="n"/>
      <c r="S433" s="105" t="n"/>
      <c r="T433" s="105" t="n"/>
      <c r="U433" s="105" t="n"/>
      <c r="V433" s="105" t="n"/>
      <c r="W433" s="105" t="n"/>
      <c r="X433" s="105" t="n"/>
      <c r="Y433" s="105" t="n"/>
      <c r="Z433" s="105" t="n"/>
      <c r="AA433" s="105" t="n"/>
      <c r="AB433" s="22" t="n"/>
      <c r="AC433" s="105" t="n"/>
      <c r="AD433" s="22" t="n"/>
      <c r="AE433" s="105" t="n"/>
      <c r="AF433" s="22" t="n"/>
      <c r="AG433" s="105" t="n"/>
      <c r="AH433" s="105" t="n"/>
      <c r="AI433" s="105" t="n"/>
      <c r="AJ433" s="105" t="n"/>
      <c r="AK433" s="21">
        <f>IF(Q433="ANULADA","N/A",IF(ABS(AJ433)&gt;10,"Pendiente",IF(MAX(AB433,AD433,AF433)=0,"Pendiente",MAX(0,MAX(AB433,AD433,AF433)-O433))))</f>
        <v/>
      </c>
    </row>
    <row r="434" hidden="1" ht="15" customHeight="1">
      <c r="A434" s="22" t="n"/>
      <c r="B434" s="22" t="n"/>
      <c r="C434" s="22" t="n"/>
      <c r="D434" s="13" t="n"/>
      <c r="E434" s="13" t="n"/>
      <c r="F434" s="13" t="n"/>
      <c r="G434" s="13" t="n"/>
      <c r="H434" s="23" t="n"/>
      <c r="I434" s="104" t="n"/>
      <c r="J434" s="105" t="n"/>
      <c r="K434" s="105" t="n"/>
      <c r="L434" s="13" t="n"/>
      <c r="M434" s="22" t="n"/>
      <c r="N434" s="24" t="n"/>
      <c r="O434" s="106" t="n"/>
      <c r="P434" s="22" t="n"/>
      <c r="Q434" s="22" t="n"/>
      <c r="R434" s="22" t="n"/>
      <c r="S434" s="105" t="n"/>
      <c r="T434" s="105" t="n"/>
      <c r="U434" s="105" t="n"/>
      <c r="V434" s="105" t="n"/>
      <c r="W434" s="105" t="n"/>
      <c r="X434" s="105" t="n"/>
      <c r="Y434" s="105" t="n"/>
      <c r="Z434" s="105" t="n"/>
      <c r="AA434" s="105" t="n"/>
      <c r="AB434" s="22" t="n"/>
      <c r="AC434" s="105" t="n"/>
      <c r="AD434" s="22" t="n"/>
      <c r="AE434" s="105" t="n"/>
      <c r="AF434" s="22" t="n"/>
      <c r="AG434" s="105" t="n"/>
      <c r="AH434" s="105" t="n"/>
      <c r="AI434" s="105" t="n"/>
      <c r="AJ434" s="105" t="n"/>
      <c r="AK434" s="21">
        <f>IF(Q434="ANULADA","N/A",IF(ABS(AJ434)&gt;10,"Pendiente",IF(MAX(AB434,AD434,AF434)=0,"Pendiente",MAX(0,MAX(AB434,AD434,AF434)-O434))))</f>
        <v/>
      </c>
    </row>
    <row r="435" hidden="1" ht="15" customHeight="1">
      <c r="A435" s="22" t="n"/>
      <c r="B435" s="22" t="n"/>
      <c r="C435" s="22" t="n"/>
      <c r="D435" s="13" t="n"/>
      <c r="E435" s="13" t="n"/>
      <c r="F435" s="13" t="n"/>
      <c r="G435" s="13" t="n"/>
      <c r="H435" s="23" t="n"/>
      <c r="I435" s="104" t="n"/>
      <c r="J435" s="105" t="n"/>
      <c r="K435" s="105" t="n"/>
      <c r="L435" s="13" t="n"/>
      <c r="M435" s="22" t="n"/>
      <c r="N435" s="24" t="n"/>
      <c r="O435" s="106" t="n"/>
      <c r="P435" s="22" t="n"/>
      <c r="Q435" s="39" t="n"/>
      <c r="R435" s="22" t="n"/>
      <c r="S435" s="105" t="n"/>
      <c r="T435" s="105" t="n"/>
      <c r="U435" s="105" t="n"/>
      <c r="V435" s="105" t="n"/>
      <c r="W435" s="105" t="n"/>
      <c r="X435" s="105" t="n"/>
      <c r="Y435" s="105" t="n"/>
      <c r="Z435" s="105" t="n"/>
      <c r="AA435" s="105" t="n"/>
      <c r="AB435" s="22" t="n"/>
      <c r="AC435" s="105" t="n"/>
      <c r="AD435" s="22" t="n"/>
      <c r="AE435" s="105" t="n"/>
      <c r="AF435" s="22" t="n"/>
      <c r="AG435" s="105" t="n"/>
      <c r="AH435" s="105" t="n"/>
      <c r="AI435" s="105" t="n"/>
      <c r="AJ435" s="105" t="n"/>
      <c r="AK435" s="21">
        <f>IF(Q435="ANULADA","N/A",IF(ABS(AJ435)&gt;10,"Pendiente",IF(MAX(AB435,AD435,AF435)=0,"Pendiente",MAX(0,MAX(AB435,AD435,AF435)-O435))))</f>
        <v/>
      </c>
    </row>
    <row r="436" hidden="1" ht="15" customHeight="1">
      <c r="A436" s="22" t="n"/>
      <c r="B436" s="22" t="n"/>
      <c r="C436" s="22" t="n"/>
      <c r="D436" s="13" t="n"/>
      <c r="E436" s="13" t="n"/>
      <c r="F436" s="13" t="n"/>
      <c r="G436" s="13" t="n"/>
      <c r="H436" s="23" t="n"/>
      <c r="I436" s="104" t="n"/>
      <c r="J436" s="105" t="n"/>
      <c r="K436" s="105" t="n"/>
      <c r="L436" s="13" t="n"/>
      <c r="M436" s="22" t="n"/>
      <c r="N436" s="24" t="n"/>
      <c r="O436" s="106" t="n"/>
      <c r="P436" s="22" t="n"/>
      <c r="Q436" s="39" t="n"/>
      <c r="R436" s="22" t="n"/>
      <c r="S436" s="105" t="n"/>
      <c r="T436" s="105" t="n"/>
      <c r="U436" s="105" t="n"/>
      <c r="V436" s="105" t="n"/>
      <c r="W436" s="105" t="n"/>
      <c r="X436" s="105" t="n"/>
      <c r="Y436" s="105" t="n"/>
      <c r="Z436" s="105" t="n"/>
      <c r="AA436" s="105" t="n"/>
      <c r="AB436" s="22" t="n"/>
      <c r="AC436" s="105" t="n"/>
      <c r="AD436" s="22" t="n"/>
      <c r="AE436" s="105" t="n"/>
      <c r="AF436" s="22" t="n"/>
      <c r="AG436" s="105" t="n"/>
      <c r="AH436" s="105" t="n"/>
      <c r="AI436" s="105" t="n"/>
      <c r="AJ436" s="105" t="n"/>
      <c r="AK436" s="21">
        <f>IF(Q436="ANULADA","N/A",IF(ABS(AJ436)&gt;10,"Pendiente",IF(MAX(AB436,AD436,AF436)=0,"Pendiente",MAX(0,MAX(AB436,AD436,AF436)-O436))))</f>
        <v/>
      </c>
    </row>
    <row r="437" hidden="1" ht="15" customHeight="1">
      <c r="A437" s="22" t="n"/>
      <c r="B437" s="22" t="n"/>
      <c r="C437" s="22" t="n"/>
      <c r="D437" s="13" t="n"/>
      <c r="E437" s="13" t="n"/>
      <c r="F437" s="13" t="n"/>
      <c r="G437" s="13" t="n"/>
      <c r="H437" s="23" t="n"/>
      <c r="I437" s="104" t="n"/>
      <c r="J437" s="105" t="n"/>
      <c r="K437" s="105" t="n"/>
      <c r="L437" s="13" t="n"/>
      <c r="M437" s="22" t="n"/>
      <c r="N437" s="24" t="n"/>
      <c r="O437" s="106" t="n"/>
      <c r="P437" s="22" t="n"/>
      <c r="Q437" s="22" t="n"/>
      <c r="R437" s="22" t="n"/>
      <c r="S437" s="105" t="n"/>
      <c r="T437" s="105" t="n"/>
      <c r="U437" s="105" t="n"/>
      <c r="V437" s="105" t="n"/>
      <c r="W437" s="105" t="n"/>
      <c r="X437" s="105" t="n"/>
      <c r="Y437" s="105" t="n"/>
      <c r="Z437" s="105" t="n"/>
      <c r="AA437" s="105" t="n"/>
      <c r="AB437" s="22" t="n"/>
      <c r="AC437" s="105" t="n"/>
      <c r="AD437" s="22" t="n"/>
      <c r="AE437" s="105" t="n"/>
      <c r="AF437" s="22" t="n"/>
      <c r="AG437" s="105" t="n"/>
      <c r="AH437" s="105" t="n"/>
      <c r="AI437" s="105" t="n"/>
      <c r="AJ437" s="105" t="n"/>
      <c r="AK437" s="21">
        <f>IF(Q437="ANULADA","N/A",IF(ABS(AJ437)&gt;10,"Pendiente",IF(MAX(AB437,AD437,AF437)=0,"Pendiente",MAX(0,MAX(AB437,AD437,AF437)-O437))))</f>
        <v/>
      </c>
    </row>
    <row r="438" hidden="1" ht="15" customHeight="1">
      <c r="A438" s="22" t="n"/>
      <c r="B438" s="22" t="n"/>
      <c r="C438" s="22" t="n"/>
      <c r="D438" s="13" t="n"/>
      <c r="E438" s="13" t="n"/>
      <c r="F438" s="13" t="n"/>
      <c r="G438" s="13" t="n"/>
      <c r="H438" s="23" t="n"/>
      <c r="I438" s="104" t="n"/>
      <c r="J438" s="105" t="n"/>
      <c r="K438" s="105" t="n"/>
      <c r="L438" s="13" t="n"/>
      <c r="M438" s="22" t="n"/>
      <c r="N438" s="24" t="n"/>
      <c r="O438" s="106" t="n"/>
      <c r="P438" s="22" t="n"/>
      <c r="Q438" s="22" t="n"/>
      <c r="R438" s="22" t="n"/>
      <c r="S438" s="105" t="n"/>
      <c r="T438" s="105" t="n"/>
      <c r="U438" s="105" t="n"/>
      <c r="V438" s="105" t="n"/>
      <c r="W438" s="105" t="n"/>
      <c r="X438" s="105" t="n"/>
      <c r="Y438" s="105" t="n"/>
      <c r="Z438" s="105" t="n"/>
      <c r="AA438" s="105" t="n"/>
      <c r="AB438" s="22" t="n"/>
      <c r="AC438" s="105" t="n"/>
      <c r="AD438" s="22" t="n"/>
      <c r="AE438" s="105" t="n"/>
      <c r="AF438" s="22" t="n"/>
      <c r="AG438" s="105" t="n"/>
      <c r="AH438" s="105" t="n"/>
      <c r="AI438" s="105" t="n"/>
      <c r="AJ438" s="105" t="n"/>
      <c r="AK438" s="21">
        <f>IF(Q438="ANULADA","N/A",IF(ABS(AJ438)&gt;10,"Pendiente",IF(MAX(AB438,AD438,AF438)=0,"Pendiente",MAX(0,MAX(AB438,AD438,AF438)-O438))))</f>
        <v/>
      </c>
    </row>
    <row r="439" hidden="1" ht="15" customHeight="1">
      <c r="A439" s="22" t="n"/>
      <c r="B439" s="22" t="n"/>
      <c r="C439" s="22" t="n"/>
      <c r="D439" s="13" t="n"/>
      <c r="E439" s="13" t="n"/>
      <c r="F439" s="13" t="n"/>
      <c r="G439" s="13" t="n"/>
      <c r="H439" s="23" t="n"/>
      <c r="I439" s="104" t="n"/>
      <c r="J439" s="105" t="n"/>
      <c r="K439" s="105" t="n"/>
      <c r="L439" s="13" t="n"/>
      <c r="M439" s="22" t="n"/>
      <c r="N439" s="24" t="n"/>
      <c r="O439" s="106" t="n"/>
      <c r="P439" s="22" t="n"/>
      <c r="Q439" s="22" t="n"/>
      <c r="R439" s="22" t="n"/>
      <c r="S439" s="105" t="n"/>
      <c r="T439" s="105" t="n"/>
      <c r="U439" s="105" t="n"/>
      <c r="V439" s="105" t="n"/>
      <c r="W439" s="105" t="n"/>
      <c r="X439" s="105" t="n"/>
      <c r="Y439" s="105" t="n"/>
      <c r="Z439" s="105" t="n"/>
      <c r="AA439" s="105" t="n"/>
      <c r="AB439" s="22" t="n"/>
      <c r="AC439" s="105" t="n"/>
      <c r="AD439" s="22" t="n"/>
      <c r="AE439" s="105" t="n"/>
      <c r="AF439" s="22" t="n"/>
      <c r="AG439" s="105" t="n"/>
      <c r="AH439" s="105" t="n"/>
      <c r="AI439" s="105" t="n"/>
      <c r="AJ439" s="105" t="n"/>
      <c r="AK439" s="21">
        <f>IF(Q439="ANULADA","N/A",IF(ABS(AJ439)&gt;10,"Pendiente",IF(MAX(AB439,AD439,AF439)=0,"Pendiente",MAX(0,MAX(AB439,AD439,AF439)-O439))))</f>
        <v/>
      </c>
    </row>
    <row r="440" hidden="1" ht="15" customHeight="1">
      <c r="A440" s="22" t="n"/>
      <c r="B440" s="22" t="n"/>
      <c r="C440" s="22" t="n"/>
      <c r="D440" s="13" t="n"/>
      <c r="E440" s="13" t="n"/>
      <c r="F440" s="13" t="n"/>
      <c r="G440" s="13" t="n"/>
      <c r="H440" s="23" t="n"/>
      <c r="I440" s="104" t="n"/>
      <c r="J440" s="105" t="n"/>
      <c r="K440" s="105" t="n"/>
      <c r="L440" s="13" t="n"/>
      <c r="M440" s="22" t="n"/>
      <c r="N440" s="24" t="n"/>
      <c r="O440" s="106" t="n"/>
      <c r="P440" s="22" t="n"/>
      <c r="Q440" s="39" t="n"/>
      <c r="R440" s="22" t="n"/>
      <c r="S440" s="105" t="n"/>
      <c r="T440" s="105" t="n"/>
      <c r="U440" s="105" t="n"/>
      <c r="V440" s="105" t="n"/>
      <c r="W440" s="105" t="n"/>
      <c r="X440" s="105" t="n"/>
      <c r="Y440" s="105" t="n"/>
      <c r="Z440" s="105" t="n"/>
      <c r="AA440" s="105" t="n"/>
      <c r="AB440" s="22" t="n"/>
      <c r="AC440" s="105" t="n"/>
      <c r="AD440" s="22" t="n"/>
      <c r="AE440" s="105" t="n"/>
      <c r="AF440" s="22" t="n"/>
      <c r="AG440" s="105" t="n"/>
      <c r="AH440" s="105" t="n"/>
      <c r="AI440" s="105" t="n"/>
      <c r="AJ440" s="105" t="n"/>
      <c r="AK440" s="21">
        <f>IF(Q440="ANULADA","N/A",IF(ABS(AJ440)&gt;10,"Pendiente",IF(MAX(AB440,AD440,AF440)=0,"Pendiente",MAX(0,MAX(AB440,AD440,AF440)-O440))))</f>
        <v/>
      </c>
    </row>
    <row r="441" hidden="1" ht="15" customHeight="1">
      <c r="A441" s="22" t="n"/>
      <c r="B441" s="22" t="n"/>
      <c r="C441" s="22" t="n"/>
      <c r="D441" s="13" t="n"/>
      <c r="E441" s="13" t="n"/>
      <c r="F441" s="13" t="n"/>
      <c r="G441" s="13" t="n"/>
      <c r="H441" s="23" t="n"/>
      <c r="I441" s="104" t="n"/>
      <c r="J441" s="105" t="n"/>
      <c r="K441" s="105" t="n"/>
      <c r="L441" s="13" t="n"/>
      <c r="M441" s="22" t="n"/>
      <c r="N441" s="24" t="n"/>
      <c r="O441" s="106" t="n"/>
      <c r="P441" s="22" t="n"/>
      <c r="Q441" s="22" t="n"/>
      <c r="R441" s="22" t="n"/>
      <c r="S441" s="105" t="n"/>
      <c r="T441" s="105" t="n"/>
      <c r="U441" s="105" t="n"/>
      <c r="V441" s="105" t="n"/>
      <c r="W441" s="105" t="n"/>
      <c r="X441" s="105" t="n"/>
      <c r="Y441" s="105" t="n"/>
      <c r="Z441" s="105" t="n"/>
      <c r="AA441" s="105" t="n"/>
      <c r="AB441" s="22" t="n"/>
      <c r="AC441" s="105" t="n"/>
      <c r="AD441" s="22" t="n"/>
      <c r="AE441" s="105" t="n"/>
      <c r="AF441" s="22" t="n"/>
      <c r="AG441" s="105" t="n"/>
      <c r="AH441" s="105" t="n"/>
      <c r="AI441" s="105" t="n"/>
      <c r="AJ441" s="105" t="n"/>
      <c r="AK441" s="21">
        <f>IF(Q441="ANULADA","N/A",IF(ABS(AJ441)&gt;10,"Pendiente",IF(MAX(AB441,AD441,AF441)=0,"Pendiente",MAX(0,MAX(AB441,AD441,AF441)-O441))))</f>
        <v/>
      </c>
    </row>
    <row r="442" hidden="1" ht="15" customHeight="1">
      <c r="A442" s="22" t="n"/>
      <c r="B442" s="22" t="n"/>
      <c r="C442" s="22" t="n"/>
      <c r="D442" s="13" t="n"/>
      <c r="E442" s="13" t="n"/>
      <c r="F442" s="13" t="n"/>
      <c r="G442" s="13" t="n"/>
      <c r="H442" s="23" t="n"/>
      <c r="I442" s="104" t="n"/>
      <c r="J442" s="105" t="n"/>
      <c r="K442" s="105" t="n"/>
      <c r="L442" s="13" t="n"/>
      <c r="M442" s="22" t="n"/>
      <c r="N442" s="24" t="n"/>
      <c r="O442" s="106" t="n"/>
      <c r="P442" s="22" t="n"/>
      <c r="Q442" s="39" t="n"/>
      <c r="R442" s="22" t="n"/>
      <c r="S442" s="105" t="n"/>
      <c r="T442" s="105" t="n"/>
      <c r="U442" s="105" t="n"/>
      <c r="V442" s="105" t="n"/>
      <c r="W442" s="105" t="n"/>
      <c r="X442" s="105" t="n"/>
      <c r="Y442" s="105" t="n"/>
      <c r="Z442" s="105" t="n"/>
      <c r="AA442" s="105" t="n"/>
      <c r="AB442" s="22" t="n"/>
      <c r="AC442" s="105" t="n"/>
      <c r="AD442" s="22" t="n"/>
      <c r="AE442" s="105" t="n"/>
      <c r="AF442" s="22" t="n"/>
      <c r="AG442" s="105" t="n"/>
      <c r="AH442" s="105" t="n"/>
      <c r="AI442" s="105" t="n"/>
      <c r="AJ442" s="105" t="n"/>
      <c r="AK442" s="21">
        <f>IF(Q442="ANULADA","N/A",IF(ABS(AJ442)&gt;10,"Pendiente",IF(MAX(AB442,AD442,AF442)=0,"Pendiente",MAX(0,MAX(AB442,AD442,AF442)-O442))))</f>
        <v/>
      </c>
    </row>
    <row r="443" hidden="1" ht="15" customHeight="1">
      <c r="A443" s="22" t="n"/>
      <c r="B443" s="22" t="n"/>
      <c r="C443" s="22" t="n"/>
      <c r="D443" s="13" t="n"/>
      <c r="E443" s="13" t="n"/>
      <c r="F443" s="13" t="n"/>
      <c r="G443" s="13" t="n"/>
      <c r="H443" s="23" t="n"/>
      <c r="I443" s="104" t="n"/>
      <c r="J443" s="105" t="n"/>
      <c r="K443" s="105" t="n"/>
      <c r="L443" s="13" t="n"/>
      <c r="M443" s="22" t="n"/>
      <c r="N443" s="24" t="n"/>
      <c r="O443" s="106" t="n"/>
      <c r="P443" s="22" t="n"/>
      <c r="Q443" s="39" t="n"/>
      <c r="R443" s="22" t="n"/>
      <c r="S443" s="105" t="n"/>
      <c r="T443" s="105" t="n"/>
      <c r="U443" s="105" t="n"/>
      <c r="V443" s="105" t="n"/>
      <c r="W443" s="105" t="n"/>
      <c r="X443" s="105" t="n"/>
      <c r="Y443" s="105" t="n"/>
      <c r="Z443" s="105" t="n"/>
      <c r="AA443" s="105" t="n"/>
      <c r="AB443" s="22" t="n"/>
      <c r="AC443" s="105" t="n"/>
      <c r="AD443" s="22" t="n"/>
      <c r="AE443" s="105" t="n"/>
      <c r="AF443" s="22" t="n"/>
      <c r="AG443" s="105" t="n"/>
      <c r="AH443" s="105" t="n"/>
      <c r="AI443" s="105" t="n"/>
      <c r="AJ443" s="105" t="n"/>
      <c r="AK443" s="21">
        <f>IF(Q443="ANULADA","N/A",IF(ABS(AJ443)&gt;10,"Pendiente",IF(MAX(AB443,AD443,AF443)=0,"Pendiente",MAX(0,MAX(AB443,AD443,AF443)-O443))))</f>
        <v/>
      </c>
    </row>
    <row r="444" hidden="1" ht="15" customHeight="1">
      <c r="A444" s="22" t="n"/>
      <c r="B444" s="22" t="n"/>
      <c r="C444" s="22" t="n"/>
      <c r="D444" s="13" t="n"/>
      <c r="E444" s="13" t="n"/>
      <c r="F444" s="13" t="n"/>
      <c r="G444" s="13" t="n"/>
      <c r="H444" s="23" t="n"/>
      <c r="I444" s="104" t="n"/>
      <c r="J444" s="105" t="n"/>
      <c r="K444" s="105" t="n"/>
      <c r="L444" s="13" t="n"/>
      <c r="M444" s="22" t="n"/>
      <c r="N444" s="24" t="n"/>
      <c r="O444" s="106" t="n"/>
      <c r="P444" s="22" t="n"/>
      <c r="Q444" s="22" t="n"/>
      <c r="R444" s="22" t="n"/>
      <c r="S444" s="105" t="n"/>
      <c r="T444" s="105" t="n"/>
      <c r="U444" s="105" t="n"/>
      <c r="V444" s="105" t="n"/>
      <c r="W444" s="105" t="n"/>
      <c r="X444" s="105" t="n"/>
      <c r="Y444" s="105" t="n"/>
      <c r="Z444" s="105" t="n"/>
      <c r="AA444" s="105" t="n"/>
      <c r="AB444" s="22" t="n"/>
      <c r="AC444" s="105" t="n"/>
      <c r="AD444" s="22" t="n"/>
      <c r="AE444" s="105" t="n"/>
      <c r="AF444" s="22" t="n"/>
      <c r="AG444" s="105" t="n"/>
      <c r="AH444" s="105" t="n"/>
      <c r="AI444" s="105" t="n"/>
      <c r="AJ444" s="105" t="n"/>
      <c r="AK444" s="21">
        <f>IF(Q444="ANULADA","N/A",IF(ABS(AJ444)&gt;10,"Pendiente",IF(MAX(AB444,AD444,AF444)=0,"Pendiente",MAX(0,MAX(AB444,AD444,AF444)-O444))))</f>
        <v/>
      </c>
    </row>
    <row r="445" hidden="1" ht="15" customHeight="1">
      <c r="A445" s="22" t="n"/>
      <c r="B445" s="22" t="n"/>
      <c r="C445" s="22" t="n"/>
      <c r="D445" s="13" t="n"/>
      <c r="E445" s="13" t="n"/>
      <c r="F445" s="13" t="n"/>
      <c r="G445" s="13" t="n"/>
      <c r="H445" s="23" t="n"/>
      <c r="I445" s="104" t="n"/>
      <c r="J445" s="105" t="n"/>
      <c r="K445" s="105" t="n"/>
      <c r="L445" s="13" t="n"/>
      <c r="M445" s="22" t="n"/>
      <c r="N445" s="24" t="n"/>
      <c r="O445" s="106" t="n"/>
      <c r="P445" s="22" t="n"/>
      <c r="Q445" s="22" t="n"/>
      <c r="R445" s="22" t="n"/>
      <c r="S445" s="105" t="n"/>
      <c r="T445" s="105" t="n"/>
      <c r="U445" s="105" t="n"/>
      <c r="V445" s="105" t="n"/>
      <c r="W445" s="105" t="n"/>
      <c r="X445" s="105" t="n"/>
      <c r="Y445" s="105" t="n"/>
      <c r="Z445" s="105" t="n"/>
      <c r="AA445" s="105" t="n"/>
      <c r="AB445" s="22" t="n"/>
      <c r="AC445" s="105" t="n"/>
      <c r="AD445" s="22" t="n"/>
      <c r="AE445" s="105" t="n"/>
      <c r="AF445" s="22" t="n"/>
      <c r="AG445" s="105" t="n"/>
      <c r="AH445" s="105" t="n"/>
      <c r="AI445" s="105" t="n"/>
      <c r="AJ445" s="105" t="n"/>
      <c r="AK445" s="21">
        <f>IF(Q445="ANULADA","N/A",IF(ABS(AJ445)&gt;10,"Pendiente",IF(MAX(AB445,AD445,AF445)=0,"Pendiente",MAX(0,MAX(AB445,AD445,AF445)-O445))))</f>
        <v/>
      </c>
    </row>
    <row r="446" hidden="1" ht="15" customHeight="1">
      <c r="A446" s="22" t="n"/>
      <c r="B446" s="22" t="n"/>
      <c r="C446" s="22" t="n"/>
      <c r="D446" s="13" t="n"/>
      <c r="E446" s="13" t="n"/>
      <c r="F446" s="13" t="n"/>
      <c r="G446" s="13" t="n"/>
      <c r="H446" s="23" t="n"/>
      <c r="I446" s="104" t="n"/>
      <c r="J446" s="105" t="n"/>
      <c r="K446" s="105" t="n"/>
      <c r="L446" s="13" t="n"/>
      <c r="M446" s="22" t="n"/>
      <c r="N446" s="24" t="n"/>
      <c r="O446" s="106" t="n"/>
      <c r="P446" s="22" t="n"/>
      <c r="Q446" s="22" t="n"/>
      <c r="R446" s="22" t="n"/>
      <c r="S446" s="105" t="n"/>
      <c r="T446" s="105" t="n"/>
      <c r="U446" s="105" t="n"/>
      <c r="V446" s="105" t="n"/>
      <c r="W446" s="105" t="n"/>
      <c r="X446" s="105" t="n"/>
      <c r="Y446" s="105" t="n"/>
      <c r="Z446" s="105" t="n"/>
      <c r="AA446" s="105" t="n"/>
      <c r="AB446" s="22" t="n"/>
      <c r="AC446" s="105" t="n"/>
      <c r="AD446" s="22" t="n"/>
      <c r="AE446" s="105" t="n"/>
      <c r="AF446" s="22" t="n"/>
      <c r="AG446" s="105" t="n"/>
      <c r="AH446" s="105" t="n"/>
      <c r="AI446" s="105" t="n"/>
      <c r="AJ446" s="105" t="n"/>
      <c r="AK446" s="21">
        <f>IF(Q446="ANULADA","N/A",IF(ABS(AJ446)&gt;10,"Pendiente",IF(MAX(AB446,AD446,AF446)=0,"Pendiente",MAX(0,MAX(AB446,AD446,AF446)-O446))))</f>
        <v/>
      </c>
    </row>
    <row r="447" hidden="1" ht="15" customHeight="1">
      <c r="A447" s="22" t="n"/>
      <c r="B447" s="22" t="n"/>
      <c r="C447" s="22" t="n"/>
      <c r="D447" s="13" t="n"/>
      <c r="E447" s="13" t="n"/>
      <c r="F447" s="13" t="n"/>
      <c r="G447" s="13" t="n"/>
      <c r="H447" s="23" t="n"/>
      <c r="I447" s="104" t="n"/>
      <c r="J447" s="105" t="n"/>
      <c r="K447" s="105" t="n"/>
      <c r="L447" s="13" t="n"/>
      <c r="M447" s="22" t="n"/>
      <c r="N447" s="24" t="n"/>
      <c r="O447" s="106" t="n"/>
      <c r="P447" s="22" t="n"/>
      <c r="Q447" s="39" t="n"/>
      <c r="R447" s="22" t="n"/>
      <c r="S447" s="105" t="n"/>
      <c r="T447" s="105" t="n"/>
      <c r="U447" s="105" t="n"/>
      <c r="V447" s="105" t="n"/>
      <c r="W447" s="105" t="n"/>
      <c r="X447" s="105" t="n"/>
      <c r="Y447" s="105" t="n"/>
      <c r="Z447" s="105" t="n"/>
      <c r="AA447" s="105" t="n"/>
      <c r="AB447" s="22" t="n"/>
      <c r="AC447" s="105" t="n"/>
      <c r="AD447" s="22" t="n"/>
      <c r="AE447" s="105" t="n"/>
      <c r="AF447" s="22" t="n"/>
      <c r="AG447" s="105" t="n"/>
      <c r="AH447" s="105" t="n"/>
      <c r="AI447" s="105" t="n"/>
      <c r="AJ447" s="105" t="n"/>
      <c r="AK447" s="21">
        <f>IF(Q447="ANULADA","N/A",IF(ABS(AJ447)&gt;10,"Pendiente",IF(MAX(AB447,AD447,AF447)=0,"Pendiente",MAX(0,MAX(AB447,AD447,AF447)-O447))))</f>
        <v/>
      </c>
    </row>
    <row r="448" hidden="1" ht="15" customHeight="1">
      <c r="A448" s="22" t="n"/>
      <c r="B448" s="22" t="n"/>
      <c r="C448" s="22" t="n"/>
      <c r="D448" s="13" t="n"/>
      <c r="E448" s="13" t="n"/>
      <c r="F448" s="13" t="n"/>
      <c r="G448" s="13" t="n"/>
      <c r="H448" s="23" t="n"/>
      <c r="I448" s="104" t="n"/>
      <c r="J448" s="105" t="n"/>
      <c r="K448" s="105" t="n"/>
      <c r="L448" s="13" t="n"/>
      <c r="M448" s="22" t="n"/>
      <c r="N448" s="24" t="n"/>
      <c r="O448" s="106" t="n"/>
      <c r="P448" s="22" t="n"/>
      <c r="Q448" s="22" t="n"/>
      <c r="R448" s="22" t="n"/>
      <c r="S448" s="105" t="n"/>
      <c r="T448" s="105" t="n"/>
      <c r="U448" s="105" t="n"/>
      <c r="V448" s="105" t="n"/>
      <c r="W448" s="105" t="n"/>
      <c r="X448" s="105" t="n"/>
      <c r="Y448" s="105" t="n"/>
      <c r="Z448" s="105" t="n"/>
      <c r="AA448" s="105" t="n"/>
      <c r="AB448" s="22" t="n"/>
      <c r="AC448" s="105" t="n"/>
      <c r="AD448" s="22" t="n"/>
      <c r="AE448" s="105" t="n"/>
      <c r="AF448" s="22" t="n"/>
      <c r="AG448" s="105" t="n"/>
      <c r="AH448" s="105" t="n"/>
      <c r="AI448" s="105" t="n"/>
      <c r="AJ448" s="105" t="n"/>
      <c r="AK448" s="21">
        <f>IF(Q448="ANULADA","N/A",IF(ABS(AJ448)&gt;10,"Pendiente",IF(MAX(AB448,AD448,AF448)=0,"Pendiente",MAX(0,MAX(AB448,AD448,AF448)-O448))))</f>
        <v/>
      </c>
    </row>
    <row r="449" hidden="1" ht="15" customHeight="1">
      <c r="A449" s="22" t="n"/>
      <c r="B449" s="22" t="n"/>
      <c r="C449" s="22" t="n"/>
      <c r="D449" s="13" t="n"/>
      <c r="E449" s="13" t="n"/>
      <c r="F449" s="13" t="n"/>
      <c r="G449" s="13" t="n"/>
      <c r="H449" s="23" t="n"/>
      <c r="I449" s="104" t="n"/>
      <c r="J449" s="105" t="n"/>
      <c r="K449" s="105" t="n"/>
      <c r="L449" s="13" t="n"/>
      <c r="M449" s="22" t="n"/>
      <c r="N449" s="24" t="n"/>
      <c r="O449" s="106" t="n"/>
      <c r="P449" s="22" t="n"/>
      <c r="Q449" s="39" t="n"/>
      <c r="R449" s="22" t="n"/>
      <c r="S449" s="105" t="n"/>
      <c r="T449" s="105" t="n"/>
      <c r="U449" s="105" t="n"/>
      <c r="V449" s="105" t="n"/>
      <c r="W449" s="105" t="n"/>
      <c r="X449" s="105" t="n"/>
      <c r="Y449" s="105" t="n"/>
      <c r="Z449" s="105" t="n"/>
      <c r="AA449" s="105" t="n"/>
      <c r="AB449" s="22" t="n"/>
      <c r="AC449" s="105" t="n"/>
      <c r="AD449" s="22" t="n"/>
      <c r="AE449" s="105" t="n"/>
      <c r="AF449" s="22" t="n"/>
      <c r="AG449" s="105" t="n"/>
      <c r="AH449" s="105" t="n"/>
      <c r="AI449" s="105" t="n"/>
      <c r="AJ449" s="105" t="n"/>
      <c r="AK449" s="21">
        <f>IF(Q449="ANULADA","N/A",IF(ABS(AJ449)&gt;10,"Pendiente",IF(MAX(AB449,AD449,AF449)=0,"Pendiente",MAX(0,MAX(AB449,AD449,AF449)-O449))))</f>
        <v/>
      </c>
    </row>
    <row r="450" hidden="1" ht="15" customHeight="1">
      <c r="A450" s="22" t="n"/>
      <c r="B450" s="22" t="n"/>
      <c r="C450" s="22" t="n"/>
      <c r="D450" s="13" t="n"/>
      <c r="E450" s="13" t="n"/>
      <c r="F450" s="13" t="n"/>
      <c r="G450" s="13" t="n"/>
      <c r="H450" s="23" t="n"/>
      <c r="I450" s="104" t="n"/>
      <c r="J450" s="105" t="n"/>
      <c r="K450" s="105" t="n"/>
      <c r="L450" s="13" t="n"/>
      <c r="M450" s="22" t="n"/>
      <c r="N450" s="24" t="n"/>
      <c r="O450" s="106" t="n"/>
      <c r="P450" s="22" t="n"/>
      <c r="Q450" s="39" t="n"/>
      <c r="R450" s="22" t="n"/>
      <c r="S450" s="105" t="n"/>
      <c r="T450" s="105" t="n"/>
      <c r="U450" s="105" t="n"/>
      <c r="V450" s="105" t="n"/>
      <c r="W450" s="105" t="n"/>
      <c r="X450" s="105" t="n"/>
      <c r="Y450" s="105" t="n"/>
      <c r="Z450" s="105" t="n"/>
      <c r="AA450" s="105" t="n"/>
      <c r="AB450" s="22" t="n"/>
      <c r="AC450" s="105" t="n"/>
      <c r="AD450" s="22" t="n"/>
      <c r="AE450" s="105" t="n"/>
      <c r="AF450" s="22" t="n"/>
      <c r="AG450" s="105" t="n"/>
      <c r="AH450" s="105" t="n"/>
      <c r="AI450" s="105" t="n"/>
      <c r="AJ450" s="105" t="n"/>
      <c r="AK450" s="21">
        <f>IF(Q450="ANULADA","N/A",IF(ABS(AJ450)&gt;10,"Pendiente",IF(MAX(AB450,AD450,AF450)=0,"Pendiente",MAX(0,MAX(AB450,AD450,AF450)-O450))))</f>
        <v/>
      </c>
    </row>
    <row r="451" hidden="1" ht="15" customHeight="1">
      <c r="A451" s="22" t="n"/>
      <c r="B451" s="22" t="n"/>
      <c r="C451" s="22" t="n"/>
      <c r="D451" s="13" t="n"/>
      <c r="E451" s="13" t="n"/>
      <c r="F451" s="13" t="n"/>
      <c r="G451" s="13" t="n"/>
      <c r="H451" s="23" t="n"/>
      <c r="I451" s="104" t="n"/>
      <c r="J451" s="105" t="n"/>
      <c r="K451" s="105" t="n"/>
      <c r="L451" s="13" t="n"/>
      <c r="M451" s="22" t="n"/>
      <c r="N451" s="24" t="n"/>
      <c r="O451" s="106" t="n"/>
      <c r="P451" s="22" t="n"/>
      <c r="Q451" s="22" t="n"/>
      <c r="R451" s="22" t="n"/>
      <c r="S451" s="105" t="n"/>
      <c r="T451" s="105" t="n"/>
      <c r="U451" s="105" t="n"/>
      <c r="V451" s="105" t="n"/>
      <c r="W451" s="105" t="n"/>
      <c r="X451" s="105" t="n"/>
      <c r="Y451" s="105" t="n"/>
      <c r="Z451" s="105" t="n"/>
      <c r="AA451" s="105" t="n"/>
      <c r="AB451" s="22" t="n"/>
      <c r="AC451" s="105" t="n"/>
      <c r="AD451" s="22" t="n"/>
      <c r="AE451" s="105" t="n"/>
      <c r="AF451" s="22" t="n"/>
      <c r="AG451" s="105" t="n"/>
      <c r="AH451" s="105" t="n"/>
      <c r="AI451" s="105" t="n"/>
      <c r="AJ451" s="105" t="n"/>
      <c r="AK451" s="21">
        <f>IF(Q451="ANULADA","N/A",IF(ABS(AJ451)&gt;10,"Pendiente",IF(MAX(AB451,AD451,AF451)=0,"Pendiente",MAX(0,MAX(AB451,AD451,AF451)-O451))))</f>
        <v/>
      </c>
    </row>
    <row r="452" hidden="1" ht="15" customHeight="1">
      <c r="A452" s="22" t="n"/>
      <c r="B452" s="22" t="n"/>
      <c r="C452" s="22" t="n"/>
      <c r="D452" s="13" t="n"/>
      <c r="E452" s="13" t="n"/>
      <c r="F452" s="13" t="n"/>
      <c r="G452" s="13" t="n"/>
      <c r="H452" s="23" t="n"/>
      <c r="I452" s="104" t="n"/>
      <c r="J452" s="105" t="n"/>
      <c r="K452" s="105" t="n"/>
      <c r="L452" s="13" t="n"/>
      <c r="M452" s="22" t="n"/>
      <c r="N452" s="24" t="n"/>
      <c r="O452" s="106" t="n"/>
      <c r="P452" s="22" t="n"/>
      <c r="Q452" s="22" t="n"/>
      <c r="R452" s="22" t="n"/>
      <c r="S452" s="105" t="n"/>
      <c r="T452" s="105" t="n"/>
      <c r="U452" s="105" t="n"/>
      <c r="V452" s="105" t="n"/>
      <c r="W452" s="105" t="n"/>
      <c r="X452" s="105" t="n"/>
      <c r="Y452" s="105" t="n"/>
      <c r="Z452" s="105" t="n"/>
      <c r="AA452" s="105" t="n"/>
      <c r="AB452" s="22" t="n"/>
      <c r="AC452" s="105" t="n"/>
      <c r="AD452" s="22" t="n"/>
      <c r="AE452" s="105" t="n"/>
      <c r="AF452" s="22" t="n"/>
      <c r="AG452" s="105" t="n"/>
      <c r="AH452" s="105" t="n"/>
      <c r="AI452" s="105" t="n"/>
      <c r="AJ452" s="105" t="n"/>
      <c r="AK452" s="21">
        <f>IF(Q452="ANULADA","N/A",IF(ABS(AJ452)&gt;10,"Pendiente",IF(MAX(AB452,AD452,AF452)=0,"Pendiente",MAX(0,MAX(AB452,AD452,AF452)-O452))))</f>
        <v/>
      </c>
    </row>
    <row r="453" hidden="1" ht="15" customHeight="1">
      <c r="A453" s="22" t="n"/>
      <c r="B453" s="22" t="n"/>
      <c r="C453" s="22" t="n"/>
      <c r="D453" s="13" t="n"/>
      <c r="E453" s="13" t="n"/>
      <c r="F453" s="13" t="n"/>
      <c r="G453" s="13" t="n"/>
      <c r="H453" s="23" t="n"/>
      <c r="I453" s="104" t="n"/>
      <c r="J453" s="105" t="n"/>
      <c r="K453" s="105" t="n"/>
      <c r="L453" s="13" t="n"/>
      <c r="M453" s="22" t="n"/>
      <c r="N453" s="24" t="n"/>
      <c r="O453" s="106" t="n"/>
      <c r="P453" s="22" t="n"/>
      <c r="Q453" s="22" t="n"/>
      <c r="R453" s="22" t="n"/>
      <c r="S453" s="105" t="n"/>
      <c r="T453" s="105" t="n"/>
      <c r="U453" s="105" t="n"/>
      <c r="V453" s="105" t="n"/>
      <c r="W453" s="105" t="n"/>
      <c r="X453" s="105" t="n"/>
      <c r="Y453" s="105" t="n"/>
      <c r="Z453" s="105" t="n"/>
      <c r="AA453" s="105" t="n"/>
      <c r="AB453" s="22" t="n"/>
      <c r="AC453" s="105" t="n"/>
      <c r="AD453" s="22" t="n"/>
      <c r="AE453" s="105" t="n"/>
      <c r="AF453" s="22" t="n"/>
      <c r="AG453" s="105" t="n"/>
      <c r="AH453" s="105" t="n"/>
      <c r="AI453" s="105" t="n"/>
      <c r="AJ453" s="105" t="n"/>
      <c r="AK453" s="21">
        <f>IF(Q453="ANULADA","N/A",IF(ABS(AJ453)&gt;10,"Pendiente",IF(MAX(AB453,AD453,AF453)=0,"Pendiente",MAX(0,MAX(AB453,AD453,AF453)-O453))))</f>
        <v/>
      </c>
    </row>
    <row r="454" hidden="1" ht="15" customHeight="1">
      <c r="A454" s="22" t="n"/>
      <c r="B454" s="22" t="n"/>
      <c r="C454" s="22" t="n"/>
      <c r="D454" s="13" t="n"/>
      <c r="E454" s="13" t="n"/>
      <c r="F454" s="13" t="n"/>
      <c r="G454" s="13" t="n"/>
      <c r="H454" s="23" t="n"/>
      <c r="I454" s="104" t="n"/>
      <c r="J454" s="105" t="n"/>
      <c r="K454" s="105" t="n"/>
      <c r="L454" s="13" t="n"/>
      <c r="M454" s="22" t="n"/>
      <c r="N454" s="24" t="n"/>
      <c r="O454" s="106" t="n"/>
      <c r="P454" s="22" t="n"/>
      <c r="Q454" s="39" t="n"/>
      <c r="R454" s="22" t="n"/>
      <c r="S454" s="105" t="n"/>
      <c r="T454" s="105" t="n"/>
      <c r="U454" s="105" t="n"/>
      <c r="V454" s="105" t="n"/>
      <c r="W454" s="105" t="n"/>
      <c r="X454" s="105" t="n"/>
      <c r="Y454" s="105" t="n"/>
      <c r="Z454" s="105" t="n"/>
      <c r="AA454" s="105" t="n"/>
      <c r="AB454" s="22" t="n"/>
      <c r="AC454" s="105" t="n"/>
      <c r="AD454" s="22" t="n"/>
      <c r="AE454" s="105" t="n"/>
      <c r="AF454" s="22" t="n"/>
      <c r="AG454" s="105" t="n"/>
      <c r="AH454" s="105" t="n"/>
      <c r="AI454" s="105" t="n"/>
      <c r="AJ454" s="105" t="n"/>
      <c r="AK454" s="21">
        <f>IF(Q454="ANULADA","N/A",IF(ABS(AJ454)&gt;10,"Pendiente",IF(MAX(AB454,AD454,AF454)=0,"Pendiente",MAX(0,MAX(AB454,AD454,AF454)-O454))))</f>
        <v/>
      </c>
    </row>
    <row r="455" hidden="1" ht="15" customHeight="1">
      <c r="A455" s="22" t="n"/>
      <c r="B455" s="22" t="n"/>
      <c r="C455" s="22" t="n"/>
      <c r="D455" s="13" t="n"/>
      <c r="E455" s="13" t="n"/>
      <c r="F455" s="13" t="n"/>
      <c r="G455" s="13" t="n"/>
      <c r="H455" s="23" t="n"/>
      <c r="I455" s="104" t="n"/>
      <c r="J455" s="105" t="n"/>
      <c r="K455" s="105" t="n"/>
      <c r="L455" s="13" t="n"/>
      <c r="M455" s="22" t="n"/>
      <c r="N455" s="24" t="n"/>
      <c r="O455" s="106" t="n"/>
      <c r="P455" s="22" t="n"/>
      <c r="Q455" s="22" t="n"/>
      <c r="R455" s="22" t="n"/>
      <c r="S455" s="105" t="n"/>
      <c r="T455" s="105" t="n"/>
      <c r="U455" s="105" t="n"/>
      <c r="V455" s="105" t="n"/>
      <c r="W455" s="105" t="n"/>
      <c r="X455" s="105" t="n"/>
      <c r="Y455" s="105" t="n"/>
      <c r="Z455" s="105" t="n"/>
      <c r="AA455" s="105" t="n"/>
      <c r="AB455" s="22" t="n"/>
      <c r="AC455" s="105" t="n"/>
      <c r="AD455" s="22" t="n"/>
      <c r="AE455" s="105" t="n"/>
      <c r="AF455" s="22" t="n"/>
      <c r="AG455" s="105" t="n"/>
      <c r="AH455" s="105" t="n"/>
      <c r="AI455" s="105" t="n"/>
      <c r="AJ455" s="105" t="n"/>
      <c r="AK455" s="21">
        <f>IF(Q455="ANULADA","N/A",IF(ABS(AJ455)&gt;10,"Pendiente",IF(MAX(AB455,AD455,AF455)=0,"Pendiente",MAX(0,MAX(AB455,AD455,AF455)-O455))))</f>
        <v/>
      </c>
    </row>
    <row r="456" hidden="1" ht="15" customHeight="1">
      <c r="A456" s="22" t="n"/>
      <c r="B456" s="22" t="n"/>
      <c r="C456" s="22" t="n"/>
      <c r="D456" s="13" t="n"/>
      <c r="E456" s="13" t="n"/>
      <c r="F456" s="13" t="n"/>
      <c r="G456" s="13" t="n"/>
      <c r="H456" s="23" t="n"/>
      <c r="I456" s="104" t="n"/>
      <c r="J456" s="105" t="n"/>
      <c r="K456" s="105" t="n"/>
      <c r="L456" s="13" t="n"/>
      <c r="M456" s="22" t="n"/>
      <c r="N456" s="24" t="n"/>
      <c r="O456" s="106" t="n"/>
      <c r="P456" s="22" t="n"/>
      <c r="Q456" s="39" t="n"/>
      <c r="R456" s="22" t="n"/>
      <c r="S456" s="105" t="n"/>
      <c r="T456" s="105" t="n"/>
      <c r="U456" s="105" t="n"/>
      <c r="V456" s="105" t="n"/>
      <c r="W456" s="105" t="n"/>
      <c r="X456" s="105" t="n"/>
      <c r="Y456" s="105" t="n"/>
      <c r="Z456" s="105" t="n"/>
      <c r="AA456" s="105" t="n"/>
      <c r="AB456" s="22" t="n"/>
      <c r="AC456" s="105" t="n"/>
      <c r="AD456" s="22" t="n"/>
      <c r="AE456" s="105" t="n"/>
      <c r="AF456" s="22" t="n"/>
      <c r="AG456" s="105" t="n"/>
      <c r="AH456" s="105" t="n"/>
      <c r="AI456" s="105" t="n"/>
      <c r="AJ456" s="105" t="n"/>
      <c r="AK456" s="21">
        <f>IF(Q456="ANULADA","N/A",IF(ABS(AJ456)&gt;10,"Pendiente",IF(MAX(AB456,AD456,AF456)=0,"Pendiente",MAX(0,MAX(AB456,AD456,AF456)-O456))))</f>
        <v/>
      </c>
    </row>
    <row r="457" hidden="1" ht="15" customHeight="1">
      <c r="A457" s="22" t="n"/>
      <c r="B457" s="22" t="n"/>
      <c r="C457" s="22" t="n"/>
      <c r="D457" s="13" t="n"/>
      <c r="E457" s="13" t="n"/>
      <c r="F457" s="13" t="n"/>
      <c r="G457" s="13" t="n"/>
      <c r="H457" s="23" t="n"/>
      <c r="I457" s="104" t="n"/>
      <c r="J457" s="105" t="n"/>
      <c r="K457" s="105" t="n"/>
      <c r="L457" s="13" t="n"/>
      <c r="M457" s="22" t="n"/>
      <c r="N457" s="24" t="n"/>
      <c r="O457" s="106" t="n"/>
      <c r="P457" s="22" t="n"/>
      <c r="Q457" s="39" t="n"/>
      <c r="R457" s="22" t="n"/>
      <c r="S457" s="105" t="n"/>
      <c r="T457" s="105" t="n"/>
      <c r="U457" s="105" t="n"/>
      <c r="V457" s="105" t="n"/>
      <c r="W457" s="105" t="n"/>
      <c r="X457" s="105" t="n"/>
      <c r="Y457" s="105" t="n"/>
      <c r="Z457" s="105" t="n"/>
      <c r="AA457" s="105" t="n"/>
      <c r="AB457" s="22" t="n"/>
      <c r="AC457" s="105" t="n"/>
      <c r="AD457" s="22" t="n"/>
      <c r="AE457" s="105" t="n"/>
      <c r="AF457" s="22" t="n"/>
      <c r="AG457" s="105" t="n"/>
      <c r="AH457" s="105" t="n"/>
      <c r="AI457" s="105" t="n"/>
      <c r="AJ457" s="105" t="n"/>
      <c r="AK457" s="21">
        <f>IF(Q457="ANULADA","N/A",IF(ABS(AJ457)&gt;10,"Pendiente",IF(MAX(AB457,AD457,AF457)=0,"Pendiente",MAX(0,MAX(AB457,AD457,AF457)-O457))))</f>
        <v/>
      </c>
    </row>
    <row r="458" hidden="1" ht="15" customHeight="1">
      <c r="A458" s="22" t="n"/>
      <c r="B458" s="22" t="n"/>
      <c r="C458" s="22" t="n"/>
      <c r="D458" s="13" t="n"/>
      <c r="E458" s="13" t="n"/>
      <c r="F458" s="13" t="n"/>
      <c r="G458" s="13" t="n"/>
      <c r="H458" s="23" t="n"/>
      <c r="I458" s="104" t="n"/>
      <c r="J458" s="105" t="n"/>
      <c r="K458" s="105" t="n"/>
      <c r="L458" s="13" t="n"/>
      <c r="M458" s="22" t="n"/>
      <c r="N458" s="24" t="n"/>
      <c r="O458" s="106" t="n"/>
      <c r="P458" s="22" t="n"/>
      <c r="Q458" s="22" t="n"/>
      <c r="R458" s="22" t="n"/>
      <c r="S458" s="105" t="n"/>
      <c r="T458" s="105" t="n"/>
      <c r="U458" s="105" t="n"/>
      <c r="V458" s="105" t="n"/>
      <c r="W458" s="105" t="n"/>
      <c r="X458" s="105" t="n"/>
      <c r="Y458" s="105" t="n"/>
      <c r="Z458" s="105" t="n"/>
      <c r="AA458" s="105" t="n"/>
      <c r="AB458" s="22" t="n"/>
      <c r="AC458" s="105" t="n"/>
      <c r="AD458" s="22" t="n"/>
      <c r="AE458" s="105" t="n"/>
      <c r="AF458" s="22" t="n"/>
      <c r="AG458" s="105" t="n"/>
      <c r="AH458" s="105" t="n"/>
      <c r="AI458" s="105" t="n"/>
      <c r="AJ458" s="105" t="n"/>
      <c r="AK458" s="21">
        <f>IF(Q458="ANULADA","N/A",IF(ABS(AJ458)&gt;10,"Pendiente",IF(MAX(AB458,AD458,AF458)=0,"Pendiente",MAX(0,MAX(AB458,AD458,AF458)-O458))))</f>
        <v/>
      </c>
    </row>
    <row r="459" hidden="1" ht="15" customHeight="1">
      <c r="A459" s="22" t="n"/>
      <c r="B459" s="22" t="n"/>
      <c r="C459" s="22" t="n"/>
      <c r="D459" s="13" t="n"/>
      <c r="E459" s="13" t="n"/>
      <c r="F459" s="13" t="n"/>
      <c r="G459" s="13" t="n"/>
      <c r="H459" s="23" t="n"/>
      <c r="I459" s="104" t="n"/>
      <c r="J459" s="105" t="n"/>
      <c r="K459" s="105" t="n"/>
      <c r="L459" s="13" t="n"/>
      <c r="M459" s="22" t="n"/>
      <c r="N459" s="24" t="n"/>
      <c r="O459" s="106" t="n"/>
      <c r="P459" s="22" t="n"/>
      <c r="Q459" s="22" t="n"/>
      <c r="R459" s="22" t="n"/>
      <c r="S459" s="105" t="n"/>
      <c r="T459" s="105" t="n"/>
      <c r="U459" s="105" t="n"/>
      <c r="V459" s="105" t="n"/>
      <c r="W459" s="105" t="n"/>
      <c r="X459" s="105" t="n"/>
      <c r="Y459" s="105" t="n"/>
      <c r="Z459" s="105" t="n"/>
      <c r="AA459" s="105" t="n"/>
      <c r="AB459" s="22" t="n"/>
      <c r="AC459" s="105" t="n"/>
      <c r="AD459" s="22" t="n"/>
      <c r="AE459" s="105" t="n"/>
      <c r="AF459" s="22" t="n"/>
      <c r="AG459" s="105" t="n"/>
      <c r="AH459" s="105" t="n"/>
      <c r="AI459" s="105" t="n"/>
      <c r="AJ459" s="105" t="n"/>
      <c r="AK459" s="21">
        <f>IF(Q459="ANULADA","N/A",IF(ABS(AJ459)&gt;10,"Pendiente",IF(MAX(AB459,AD459,AF459)=0,"Pendiente",MAX(0,MAX(AB459,AD459,AF459)-O459))))</f>
        <v/>
      </c>
    </row>
    <row r="460" hidden="1" ht="15" customHeight="1">
      <c r="A460" s="22" t="n"/>
      <c r="B460" s="22" t="n"/>
      <c r="C460" s="22" t="n"/>
      <c r="D460" s="13" t="n"/>
      <c r="E460" s="13" t="n"/>
      <c r="F460" s="13" t="n"/>
      <c r="G460" s="13" t="n"/>
      <c r="H460" s="23" t="n"/>
      <c r="I460" s="104" t="n"/>
      <c r="J460" s="105" t="n"/>
      <c r="K460" s="105" t="n"/>
      <c r="L460" s="13" t="n"/>
      <c r="M460" s="22" t="n"/>
      <c r="N460" s="24" t="n"/>
      <c r="O460" s="106" t="n"/>
      <c r="P460" s="22" t="n"/>
      <c r="Q460" s="22" t="n"/>
      <c r="R460" s="22" t="n"/>
      <c r="S460" s="105" t="n"/>
      <c r="T460" s="105" t="n"/>
      <c r="U460" s="105" t="n"/>
      <c r="V460" s="105" t="n"/>
      <c r="W460" s="105" t="n"/>
      <c r="X460" s="105" t="n"/>
      <c r="Y460" s="105" t="n"/>
      <c r="Z460" s="105" t="n"/>
      <c r="AA460" s="105" t="n"/>
      <c r="AB460" s="22" t="n"/>
      <c r="AC460" s="105" t="n"/>
      <c r="AD460" s="22" t="n"/>
      <c r="AE460" s="105" t="n"/>
      <c r="AF460" s="22" t="n"/>
      <c r="AG460" s="105" t="n"/>
      <c r="AH460" s="105" t="n"/>
      <c r="AI460" s="105" t="n"/>
      <c r="AJ460" s="105" t="n"/>
      <c r="AK460" s="21">
        <f>IF(Q460="ANULADA","N/A",IF(ABS(AJ460)&gt;10,"Pendiente",IF(MAX(AB460,AD460,AF460)=0,"Pendiente",MAX(0,MAX(AB460,AD460,AF460)-O460))))</f>
        <v/>
      </c>
    </row>
    <row r="461" hidden="1" ht="15" customHeight="1">
      <c r="A461" s="22" t="n"/>
      <c r="B461" s="22" t="n"/>
      <c r="C461" s="22" t="n"/>
      <c r="D461" s="13" t="n"/>
      <c r="E461" s="13" t="n"/>
      <c r="F461" s="13" t="n"/>
      <c r="G461" s="13" t="n"/>
      <c r="H461" s="23" t="n"/>
      <c r="I461" s="104" t="n"/>
      <c r="J461" s="105" t="n"/>
      <c r="K461" s="105" t="n"/>
      <c r="L461" s="13" t="n"/>
      <c r="M461" s="22" t="n"/>
      <c r="N461" s="24" t="n"/>
      <c r="O461" s="106" t="n"/>
      <c r="P461" s="22" t="n"/>
      <c r="Q461" s="39" t="n"/>
      <c r="R461" s="22" t="n"/>
      <c r="S461" s="105" t="n"/>
      <c r="T461" s="105" t="n"/>
      <c r="U461" s="105" t="n"/>
      <c r="V461" s="105" t="n"/>
      <c r="W461" s="105" t="n"/>
      <c r="X461" s="105" t="n"/>
      <c r="Y461" s="105" t="n"/>
      <c r="Z461" s="105" t="n"/>
      <c r="AA461" s="105" t="n"/>
      <c r="AB461" s="22" t="n"/>
      <c r="AC461" s="105" t="n"/>
      <c r="AD461" s="22" t="n"/>
      <c r="AE461" s="105" t="n"/>
      <c r="AF461" s="22" t="n"/>
      <c r="AG461" s="105" t="n"/>
      <c r="AH461" s="105" t="n"/>
      <c r="AI461" s="105" t="n"/>
      <c r="AJ461" s="105" t="n"/>
      <c r="AK461" s="21">
        <f>IF(Q461="ANULADA","N/A",IF(ABS(AJ461)&gt;10,"Pendiente",IF(MAX(AB461,AD461,AF461)=0,"Pendiente",MAX(0,MAX(AB461,AD461,AF461)-O461))))</f>
        <v/>
      </c>
    </row>
    <row r="462" hidden="1" ht="15" customHeight="1">
      <c r="A462" s="22" t="n"/>
      <c r="B462" s="22" t="n"/>
      <c r="C462" s="22" t="n"/>
      <c r="D462" s="13" t="n"/>
      <c r="E462" s="13" t="n"/>
      <c r="F462" s="13" t="n"/>
      <c r="G462" s="13" t="n"/>
      <c r="H462" s="23" t="n"/>
      <c r="I462" s="104" t="n"/>
      <c r="J462" s="105" t="n"/>
      <c r="K462" s="105" t="n"/>
      <c r="L462" s="13" t="n"/>
      <c r="M462" s="22" t="n"/>
      <c r="N462" s="24" t="n"/>
      <c r="O462" s="106" t="n"/>
      <c r="P462" s="22" t="n"/>
      <c r="Q462" s="22" t="n"/>
      <c r="R462" s="22" t="n"/>
      <c r="S462" s="105" t="n"/>
      <c r="T462" s="105" t="n"/>
      <c r="U462" s="105" t="n"/>
      <c r="V462" s="105" t="n"/>
      <c r="W462" s="105" t="n"/>
      <c r="X462" s="105" t="n"/>
      <c r="Y462" s="105" t="n"/>
      <c r="Z462" s="105" t="n"/>
      <c r="AA462" s="105" t="n"/>
      <c r="AB462" s="22" t="n"/>
      <c r="AC462" s="105" t="n"/>
      <c r="AD462" s="22" t="n"/>
      <c r="AE462" s="105" t="n"/>
      <c r="AF462" s="22" t="n"/>
      <c r="AG462" s="105" t="n"/>
      <c r="AH462" s="105" t="n"/>
      <c r="AI462" s="105" t="n"/>
      <c r="AJ462" s="105" t="n"/>
      <c r="AK462" s="21">
        <f>IF(Q462="ANULADA","N/A",IF(ABS(AJ462)&gt;10,"Pendiente",IF(MAX(AB462,AD462,AF462)=0,"Pendiente",MAX(0,MAX(AB462,AD462,AF462)-O462))))</f>
        <v/>
      </c>
    </row>
    <row r="463" hidden="1" ht="15" customHeight="1">
      <c r="A463" s="22" t="n"/>
      <c r="B463" s="22" t="n"/>
      <c r="C463" s="22" t="n"/>
      <c r="D463" s="13" t="n"/>
      <c r="E463" s="13" t="n"/>
      <c r="F463" s="13" t="n"/>
      <c r="G463" s="13" t="n"/>
      <c r="H463" s="23" t="n"/>
      <c r="I463" s="104" t="n"/>
      <c r="J463" s="105" t="n"/>
      <c r="K463" s="105" t="n"/>
      <c r="L463" s="13" t="n"/>
      <c r="M463" s="22" t="n"/>
      <c r="N463" s="24" t="n"/>
      <c r="O463" s="106" t="n"/>
      <c r="P463" s="22" t="n"/>
      <c r="Q463" s="39" t="n"/>
      <c r="R463" s="22" t="n"/>
      <c r="S463" s="105" t="n"/>
      <c r="T463" s="105" t="n"/>
      <c r="U463" s="105" t="n"/>
      <c r="V463" s="105" t="n"/>
      <c r="W463" s="105" t="n"/>
      <c r="X463" s="105" t="n"/>
      <c r="Y463" s="105" t="n"/>
      <c r="Z463" s="105" t="n"/>
      <c r="AA463" s="105" t="n"/>
      <c r="AB463" s="22" t="n"/>
      <c r="AC463" s="105" t="n"/>
      <c r="AD463" s="22" t="n"/>
      <c r="AE463" s="105" t="n"/>
      <c r="AF463" s="22" t="n"/>
      <c r="AG463" s="105" t="n"/>
      <c r="AH463" s="105" t="n"/>
      <c r="AI463" s="105" t="n"/>
      <c r="AJ463" s="105" t="n"/>
      <c r="AK463" s="21">
        <f>IF(Q463="ANULADA","N/A",IF(ABS(AJ463)&gt;10,"Pendiente",IF(MAX(AB463,AD463,AF463)=0,"Pendiente",MAX(0,MAX(AB463,AD463,AF463)-O463))))</f>
        <v/>
      </c>
    </row>
    <row r="464" hidden="1" ht="15" customHeight="1">
      <c r="A464" s="22" t="n"/>
      <c r="B464" s="22" t="n"/>
      <c r="C464" s="22" t="n"/>
      <c r="D464" s="13" t="n"/>
      <c r="E464" s="13" t="n"/>
      <c r="F464" s="13" t="n"/>
      <c r="G464" s="13" t="n"/>
      <c r="H464" s="23" t="n"/>
      <c r="I464" s="104" t="n"/>
      <c r="J464" s="105" t="n"/>
      <c r="K464" s="105" t="n"/>
      <c r="L464" s="13" t="n"/>
      <c r="M464" s="22" t="n"/>
      <c r="N464" s="24" t="n"/>
      <c r="O464" s="106" t="n"/>
      <c r="P464" s="22" t="n"/>
      <c r="Q464" s="39" t="n"/>
      <c r="R464" s="22" t="n"/>
      <c r="S464" s="105" t="n"/>
      <c r="T464" s="105" t="n"/>
      <c r="U464" s="105" t="n"/>
      <c r="V464" s="105" t="n"/>
      <c r="W464" s="105" t="n"/>
      <c r="X464" s="105" t="n"/>
      <c r="Y464" s="105" t="n"/>
      <c r="Z464" s="105" t="n"/>
      <c r="AA464" s="105" t="n"/>
      <c r="AB464" s="22" t="n"/>
      <c r="AC464" s="105" t="n"/>
      <c r="AD464" s="22" t="n"/>
      <c r="AE464" s="105" t="n"/>
      <c r="AF464" s="22" t="n"/>
      <c r="AG464" s="105" t="n"/>
      <c r="AH464" s="105" t="n"/>
      <c r="AI464" s="105" t="n"/>
      <c r="AJ464" s="105" t="n"/>
      <c r="AK464" s="21">
        <f>IF(Q464="ANULADA","N/A",IF(ABS(AJ464)&gt;10,"Pendiente",IF(MAX(AB464,AD464,AF464)=0,"Pendiente",MAX(0,MAX(AB464,AD464,AF464)-O464))))</f>
        <v/>
      </c>
    </row>
    <row r="465" hidden="1" ht="15" customHeight="1">
      <c r="A465" s="22" t="n"/>
      <c r="B465" s="22" t="n"/>
      <c r="C465" s="22" t="n"/>
      <c r="D465" s="13" t="n"/>
      <c r="E465" s="13" t="n"/>
      <c r="F465" s="13" t="n"/>
      <c r="G465" s="13" t="n"/>
      <c r="H465" s="23" t="n"/>
      <c r="I465" s="104" t="n"/>
      <c r="J465" s="105" t="n"/>
      <c r="K465" s="105" t="n"/>
      <c r="L465" s="13" t="n"/>
      <c r="M465" s="22" t="n"/>
      <c r="N465" s="24" t="n"/>
      <c r="O465" s="106" t="n"/>
      <c r="P465" s="22" t="n"/>
      <c r="Q465" s="22" t="n"/>
      <c r="R465" s="22" t="n"/>
      <c r="S465" s="105" t="n"/>
      <c r="T465" s="105" t="n"/>
      <c r="U465" s="105" t="n"/>
      <c r="V465" s="105" t="n"/>
      <c r="W465" s="105" t="n"/>
      <c r="X465" s="105" t="n"/>
      <c r="Y465" s="105" t="n"/>
      <c r="Z465" s="105" t="n"/>
      <c r="AA465" s="105" t="n"/>
      <c r="AB465" s="22" t="n"/>
      <c r="AC465" s="105" t="n"/>
      <c r="AD465" s="22" t="n"/>
      <c r="AE465" s="105" t="n"/>
      <c r="AF465" s="22" t="n"/>
      <c r="AG465" s="105" t="n"/>
      <c r="AH465" s="105" t="n"/>
      <c r="AI465" s="105" t="n"/>
      <c r="AJ465" s="105" t="n"/>
      <c r="AK465" s="21">
        <f>IF(Q465="ANULADA","N/A",IF(ABS(AJ465)&gt;10,"Pendiente",IF(MAX(AB465,AD465,AF465)=0,"Pendiente",MAX(0,MAX(AB465,AD465,AF465)-O465))))</f>
        <v/>
      </c>
    </row>
    <row r="466" hidden="1" ht="15" customHeight="1">
      <c r="A466" s="22" t="n"/>
      <c r="B466" s="22" t="n"/>
      <c r="C466" s="22" t="n"/>
      <c r="D466" s="13" t="n"/>
      <c r="E466" s="13" t="n"/>
      <c r="F466" s="13" t="n"/>
      <c r="G466" s="13" t="n"/>
      <c r="H466" s="23" t="n"/>
      <c r="I466" s="104" t="n"/>
      <c r="J466" s="105" t="n"/>
      <c r="K466" s="105" t="n"/>
      <c r="L466" s="13" t="n"/>
      <c r="M466" s="22" t="n"/>
      <c r="N466" s="24" t="n"/>
      <c r="O466" s="106" t="n"/>
      <c r="P466" s="22" t="n"/>
      <c r="Q466" s="22" t="n"/>
      <c r="R466" s="22" t="n"/>
      <c r="S466" s="105" t="n"/>
      <c r="T466" s="105" t="n"/>
      <c r="U466" s="105" t="n"/>
      <c r="V466" s="105" t="n"/>
      <c r="W466" s="105" t="n"/>
      <c r="X466" s="105" t="n"/>
      <c r="Y466" s="105" t="n"/>
      <c r="Z466" s="105" t="n"/>
      <c r="AA466" s="105" t="n"/>
      <c r="AB466" s="22" t="n"/>
      <c r="AC466" s="105" t="n"/>
      <c r="AD466" s="22" t="n"/>
      <c r="AE466" s="105" t="n"/>
      <c r="AF466" s="22" t="n"/>
      <c r="AG466" s="105" t="n"/>
      <c r="AH466" s="105" t="n"/>
      <c r="AI466" s="105" t="n"/>
      <c r="AJ466" s="105" t="n"/>
      <c r="AK466" s="21">
        <f>IF(Q466="ANULADA","N/A",IF(ABS(AJ466)&gt;10,"Pendiente",IF(MAX(AB466,AD466,AF466)=0,"Pendiente",MAX(0,MAX(AB466,AD466,AF466)-O466))))</f>
        <v/>
      </c>
    </row>
    <row r="467" hidden="1" ht="15" customHeight="1">
      <c r="A467" s="22" t="n"/>
      <c r="B467" s="22" t="n"/>
      <c r="C467" s="22" t="n"/>
      <c r="D467" s="13" t="n"/>
      <c r="E467" s="13" t="n"/>
      <c r="F467" s="13" t="n"/>
      <c r="G467" s="13" t="n"/>
      <c r="H467" s="23" t="n"/>
      <c r="I467" s="104" t="n"/>
      <c r="J467" s="105" t="n"/>
      <c r="K467" s="105" t="n"/>
      <c r="L467" s="13" t="n"/>
      <c r="M467" s="22" t="n"/>
      <c r="N467" s="24" t="n"/>
      <c r="O467" s="106" t="n"/>
      <c r="P467" s="22" t="n"/>
      <c r="Q467" s="22" t="n"/>
      <c r="R467" s="22" t="n"/>
      <c r="S467" s="105" t="n"/>
      <c r="T467" s="105" t="n"/>
      <c r="U467" s="105" t="n"/>
      <c r="V467" s="105" t="n"/>
      <c r="W467" s="105" t="n"/>
      <c r="X467" s="105" t="n"/>
      <c r="Y467" s="105" t="n"/>
      <c r="Z467" s="105" t="n"/>
      <c r="AA467" s="105" t="n"/>
      <c r="AB467" s="22" t="n"/>
      <c r="AC467" s="105" t="n"/>
      <c r="AD467" s="22" t="n"/>
      <c r="AE467" s="105" t="n"/>
      <c r="AF467" s="22" t="n"/>
      <c r="AG467" s="105" t="n"/>
      <c r="AH467" s="105" t="n"/>
      <c r="AI467" s="105" t="n"/>
      <c r="AJ467" s="105" t="n"/>
      <c r="AK467" s="21">
        <f>IF(Q467="ANULADA","N/A",IF(ABS(AJ467)&gt;10,"Pendiente",IF(MAX(AB467,AD467,AF467)=0,"Pendiente",MAX(0,MAX(AB467,AD467,AF467)-O467))))</f>
        <v/>
      </c>
    </row>
    <row r="468" hidden="1" ht="15" customHeight="1">
      <c r="A468" s="22" t="n"/>
      <c r="B468" s="22" t="n"/>
      <c r="C468" s="22" t="n"/>
      <c r="D468" s="13" t="n"/>
      <c r="E468" s="13" t="n"/>
      <c r="F468" s="13" t="n"/>
      <c r="G468" s="13" t="n"/>
      <c r="H468" s="23" t="n"/>
      <c r="I468" s="104" t="n"/>
      <c r="J468" s="105" t="n"/>
      <c r="K468" s="105" t="n"/>
      <c r="L468" s="13" t="n"/>
      <c r="M468" s="22" t="n"/>
      <c r="N468" s="24" t="n"/>
      <c r="O468" s="106" t="n"/>
      <c r="P468" s="22" t="n"/>
      <c r="Q468" s="39" t="n"/>
      <c r="R468" s="22" t="n"/>
      <c r="S468" s="105" t="n"/>
      <c r="T468" s="105" t="n"/>
      <c r="U468" s="105" t="n"/>
      <c r="V468" s="105" t="n"/>
      <c r="W468" s="105" t="n"/>
      <c r="X468" s="105" t="n"/>
      <c r="Y468" s="105" t="n"/>
      <c r="Z468" s="105" t="n"/>
      <c r="AA468" s="105" t="n"/>
      <c r="AB468" s="22" t="n"/>
      <c r="AC468" s="105" t="n"/>
      <c r="AD468" s="22" t="n"/>
      <c r="AE468" s="105" t="n"/>
      <c r="AF468" s="22" t="n"/>
      <c r="AG468" s="105" t="n"/>
      <c r="AH468" s="105" t="n"/>
      <c r="AI468" s="105" t="n"/>
      <c r="AJ468" s="105" t="n"/>
      <c r="AK468" s="21">
        <f>IF(Q468="ANULADA","N/A",IF(ABS(AJ468)&gt;10,"Pendiente",IF(MAX(AB468,AD468,AF468)=0,"Pendiente",MAX(0,MAX(AB468,AD468,AF468)-O468))))</f>
        <v/>
      </c>
    </row>
    <row r="469" hidden="1" ht="15" customHeight="1">
      <c r="A469" s="22" t="n"/>
      <c r="B469" s="22" t="n"/>
      <c r="C469" s="22" t="n"/>
      <c r="D469" s="13" t="n"/>
      <c r="E469" s="13" t="n"/>
      <c r="F469" s="13" t="n"/>
      <c r="G469" s="13" t="n"/>
      <c r="H469" s="23" t="n"/>
      <c r="I469" s="104" t="n"/>
      <c r="J469" s="105" t="n"/>
      <c r="K469" s="105" t="n"/>
      <c r="L469" s="13" t="n"/>
      <c r="M469" s="22" t="n"/>
      <c r="N469" s="24" t="n"/>
      <c r="O469" s="106" t="n"/>
      <c r="P469" s="22" t="n"/>
      <c r="Q469" s="22" t="n"/>
      <c r="R469" s="22" t="n"/>
      <c r="S469" s="105" t="n"/>
      <c r="T469" s="105" t="n"/>
      <c r="U469" s="105" t="n"/>
      <c r="V469" s="105" t="n"/>
      <c r="W469" s="105" t="n"/>
      <c r="X469" s="105" t="n"/>
      <c r="Y469" s="105" t="n"/>
      <c r="Z469" s="105" t="n"/>
      <c r="AA469" s="105" t="n"/>
      <c r="AB469" s="22" t="n"/>
      <c r="AC469" s="105" t="n"/>
      <c r="AD469" s="22" t="n"/>
      <c r="AE469" s="105" t="n"/>
      <c r="AF469" s="22" t="n"/>
      <c r="AG469" s="105" t="n"/>
      <c r="AH469" s="105" t="n"/>
      <c r="AI469" s="105" t="n"/>
      <c r="AJ469" s="105" t="n"/>
      <c r="AK469" s="21">
        <f>IF(Q469="ANULADA","N/A",IF(ABS(AJ469)&gt;10,"Pendiente",IF(MAX(AB469,AD469,AF469)=0,"Pendiente",MAX(0,MAX(AB469,AD469,AF469)-O469))))</f>
        <v/>
      </c>
    </row>
    <row r="470" hidden="1" ht="15" customHeight="1">
      <c r="A470" s="22" t="n"/>
      <c r="B470" s="22" t="n"/>
      <c r="C470" s="22" t="n"/>
      <c r="D470" s="13" t="n"/>
      <c r="E470" s="13" t="n"/>
      <c r="F470" s="13" t="n"/>
      <c r="G470" s="13" t="n"/>
      <c r="H470" s="23" t="n"/>
      <c r="I470" s="104" t="n"/>
      <c r="J470" s="105" t="n"/>
      <c r="K470" s="105" t="n"/>
      <c r="L470" s="13" t="n"/>
      <c r="M470" s="22" t="n"/>
      <c r="N470" s="24" t="n"/>
      <c r="O470" s="106" t="n"/>
      <c r="P470" s="22" t="n"/>
      <c r="Q470" s="39" t="n"/>
      <c r="R470" s="22" t="n"/>
      <c r="S470" s="105" t="n"/>
      <c r="T470" s="105" t="n"/>
      <c r="U470" s="105" t="n"/>
      <c r="V470" s="105" t="n"/>
      <c r="W470" s="105" t="n"/>
      <c r="X470" s="105" t="n"/>
      <c r="Y470" s="105" t="n"/>
      <c r="Z470" s="105" t="n"/>
      <c r="AA470" s="105" t="n"/>
      <c r="AB470" s="22" t="n"/>
      <c r="AC470" s="105" t="n"/>
      <c r="AD470" s="22" t="n"/>
      <c r="AE470" s="105" t="n"/>
      <c r="AF470" s="22" t="n"/>
      <c r="AG470" s="105" t="n"/>
      <c r="AH470" s="105" t="n"/>
      <c r="AI470" s="105" t="n"/>
      <c r="AJ470" s="105" t="n"/>
      <c r="AK470" s="21">
        <f>IF(Q470="ANULADA","N/A",IF(ABS(AJ470)&gt;10,"Pendiente",IF(MAX(AB470,AD470,AF470)=0,"Pendiente",MAX(0,MAX(AB470,AD470,AF470)-O470))))</f>
        <v/>
      </c>
    </row>
    <row r="471" hidden="1" ht="15" customHeight="1">
      <c r="A471" s="22" t="n"/>
      <c r="B471" s="22" t="n"/>
      <c r="C471" s="22" t="n"/>
      <c r="D471" s="13" t="n"/>
      <c r="E471" s="13" t="n"/>
      <c r="F471" s="13" t="n"/>
      <c r="G471" s="13" t="n"/>
      <c r="H471" s="23" t="n"/>
      <c r="I471" s="104" t="n"/>
      <c r="J471" s="105" t="n"/>
      <c r="K471" s="105" t="n"/>
      <c r="L471" s="13" t="n"/>
      <c r="M471" s="22" t="n"/>
      <c r="N471" s="24" t="n"/>
      <c r="O471" s="106" t="n"/>
      <c r="P471" s="22" t="n"/>
      <c r="Q471" s="39" t="n"/>
      <c r="R471" s="22" t="n"/>
      <c r="S471" s="105" t="n"/>
      <c r="T471" s="105" t="n"/>
      <c r="U471" s="105" t="n"/>
      <c r="V471" s="105" t="n"/>
      <c r="W471" s="105" t="n"/>
      <c r="X471" s="105" t="n"/>
      <c r="Y471" s="105" t="n"/>
      <c r="Z471" s="105" t="n"/>
      <c r="AA471" s="105" t="n"/>
      <c r="AB471" s="22" t="n"/>
      <c r="AC471" s="105" t="n"/>
      <c r="AD471" s="22" t="n"/>
      <c r="AE471" s="105" t="n"/>
      <c r="AF471" s="22" t="n"/>
      <c r="AG471" s="105" t="n"/>
      <c r="AH471" s="105" t="n"/>
      <c r="AI471" s="105" t="n"/>
      <c r="AJ471" s="105" t="n"/>
      <c r="AK471" s="21">
        <f>IF(Q471="ANULADA","N/A",IF(ABS(AJ471)&gt;10,"Pendiente",IF(MAX(AB471,AD471,AF471)=0,"Pendiente",MAX(0,MAX(AB471,AD471,AF471)-O471))))</f>
        <v/>
      </c>
    </row>
    <row r="472" hidden="1" ht="15" customHeight="1">
      <c r="A472" s="22" t="n"/>
      <c r="B472" s="22" t="n"/>
      <c r="C472" s="22" t="n"/>
      <c r="D472" s="13" t="n"/>
      <c r="E472" s="13" t="n"/>
      <c r="F472" s="13" t="n"/>
      <c r="G472" s="13" t="n"/>
      <c r="H472" s="23" t="n"/>
      <c r="I472" s="104" t="n"/>
      <c r="J472" s="105" t="n"/>
      <c r="K472" s="105" t="n"/>
      <c r="L472" s="13" t="n"/>
      <c r="M472" s="22" t="n"/>
      <c r="N472" s="24" t="n"/>
      <c r="O472" s="106" t="n"/>
      <c r="P472" s="22" t="n"/>
      <c r="Q472" s="22" t="n"/>
      <c r="R472" s="22" t="n"/>
      <c r="S472" s="105" t="n"/>
      <c r="T472" s="105" t="n"/>
      <c r="U472" s="105" t="n"/>
      <c r="V472" s="105" t="n"/>
      <c r="W472" s="105" t="n"/>
      <c r="X472" s="105" t="n"/>
      <c r="Y472" s="105" t="n"/>
      <c r="Z472" s="105" t="n"/>
      <c r="AA472" s="105" t="n"/>
      <c r="AB472" s="22" t="n"/>
      <c r="AC472" s="105" t="n"/>
      <c r="AD472" s="22" t="n"/>
      <c r="AE472" s="105" t="n"/>
      <c r="AF472" s="22" t="n"/>
      <c r="AG472" s="105" t="n"/>
      <c r="AH472" s="105" t="n"/>
      <c r="AI472" s="105" t="n"/>
      <c r="AJ472" s="105" t="n"/>
      <c r="AK472" s="21">
        <f>IF(Q472="ANULADA","N/A",IF(ABS(AJ472)&gt;10,"Pendiente",IF(MAX(AB472,AD472,AF472)=0,"Pendiente",MAX(0,MAX(AB472,AD472,AF472)-O472))))</f>
        <v/>
      </c>
    </row>
    <row r="473" hidden="1" ht="15" customHeight="1">
      <c r="A473" s="22" t="n"/>
      <c r="B473" s="22" t="n"/>
      <c r="C473" s="22" t="n"/>
      <c r="D473" s="13" t="n"/>
      <c r="E473" s="13" t="n"/>
      <c r="F473" s="13" t="n"/>
      <c r="G473" s="13" t="n"/>
      <c r="H473" s="23" t="n"/>
      <c r="I473" s="104" t="n"/>
      <c r="J473" s="105" t="n"/>
      <c r="K473" s="105" t="n"/>
      <c r="L473" s="13" t="n"/>
      <c r="M473" s="22" t="n"/>
      <c r="N473" s="24" t="n"/>
      <c r="O473" s="106" t="n"/>
      <c r="P473" s="22" t="n"/>
      <c r="Q473" s="22" t="n"/>
      <c r="R473" s="22" t="n"/>
      <c r="S473" s="105" t="n"/>
      <c r="T473" s="105" t="n"/>
      <c r="U473" s="105" t="n"/>
      <c r="V473" s="105" t="n"/>
      <c r="W473" s="105" t="n"/>
      <c r="X473" s="105" t="n"/>
      <c r="Y473" s="105" t="n"/>
      <c r="Z473" s="105" t="n"/>
      <c r="AA473" s="105" t="n"/>
      <c r="AB473" s="22" t="n"/>
      <c r="AC473" s="105" t="n"/>
      <c r="AD473" s="22" t="n"/>
      <c r="AE473" s="105" t="n"/>
      <c r="AF473" s="22" t="n"/>
      <c r="AG473" s="105" t="n"/>
      <c r="AH473" s="105" t="n"/>
      <c r="AI473" s="105" t="n"/>
      <c r="AJ473" s="105" t="n"/>
      <c r="AK473" s="21">
        <f>IF(Q473="ANULADA","N/A",IF(ABS(AJ473)&gt;10,"Pendiente",IF(MAX(AB473,AD473,AF473)=0,"Pendiente",MAX(0,MAX(AB473,AD473,AF473)-O473))))</f>
        <v/>
      </c>
    </row>
    <row r="474" hidden="1" ht="15" customHeight="1">
      <c r="A474" s="22" t="n"/>
      <c r="B474" s="22" t="n"/>
      <c r="C474" s="22" t="n"/>
      <c r="D474" s="13" t="n"/>
      <c r="E474" s="13" t="n"/>
      <c r="F474" s="13" t="n"/>
      <c r="G474" s="13" t="n"/>
      <c r="H474" s="23" t="n"/>
      <c r="I474" s="104" t="n"/>
      <c r="J474" s="105" t="n"/>
      <c r="K474" s="105" t="n"/>
      <c r="L474" s="13" t="n"/>
      <c r="M474" s="22" t="n"/>
      <c r="N474" s="24" t="n"/>
      <c r="O474" s="106" t="n"/>
      <c r="P474" s="22" t="n"/>
      <c r="Q474" s="22" t="n"/>
      <c r="R474" s="22" t="n"/>
      <c r="S474" s="105" t="n"/>
      <c r="T474" s="105" t="n"/>
      <c r="U474" s="105" t="n"/>
      <c r="V474" s="105" t="n"/>
      <c r="W474" s="105" t="n"/>
      <c r="X474" s="105" t="n"/>
      <c r="Y474" s="105" t="n"/>
      <c r="Z474" s="105" t="n"/>
      <c r="AA474" s="105" t="n"/>
      <c r="AB474" s="22" t="n"/>
      <c r="AC474" s="105" t="n"/>
      <c r="AD474" s="22" t="n"/>
      <c r="AE474" s="105" t="n"/>
      <c r="AF474" s="22" t="n"/>
      <c r="AG474" s="105" t="n"/>
      <c r="AH474" s="105" t="n"/>
      <c r="AI474" s="105" t="n"/>
      <c r="AJ474" s="105" t="n"/>
      <c r="AK474" s="21">
        <f>IF(Q474="ANULADA","N/A",IF(ABS(AJ474)&gt;10,"Pendiente",IF(MAX(AB474,AD474,AF474)=0,"Pendiente",MAX(0,MAX(AB474,AD474,AF474)-O474))))</f>
        <v/>
      </c>
    </row>
    <row r="475" hidden="1" ht="15" customHeight="1">
      <c r="A475" s="22" t="n"/>
      <c r="B475" s="22" t="n"/>
      <c r="C475" s="22" t="n"/>
      <c r="D475" s="13" t="n"/>
      <c r="E475" s="13" t="n"/>
      <c r="F475" s="13" t="n"/>
      <c r="G475" s="13" t="n"/>
      <c r="H475" s="23" t="n"/>
      <c r="I475" s="104" t="n"/>
      <c r="J475" s="105" t="n"/>
      <c r="K475" s="105" t="n"/>
      <c r="L475" s="13" t="n"/>
      <c r="M475" s="22" t="n"/>
      <c r="N475" s="24" t="n"/>
      <c r="O475" s="106" t="n"/>
      <c r="P475" s="22" t="n"/>
      <c r="Q475" s="39" t="n"/>
      <c r="R475" s="22" t="n"/>
      <c r="S475" s="105" t="n"/>
      <c r="T475" s="105" t="n"/>
      <c r="U475" s="105" t="n"/>
      <c r="V475" s="105" t="n"/>
      <c r="W475" s="105" t="n"/>
      <c r="X475" s="105" t="n"/>
      <c r="Y475" s="105" t="n"/>
      <c r="Z475" s="105" t="n"/>
      <c r="AA475" s="105" t="n"/>
      <c r="AB475" s="22" t="n"/>
      <c r="AC475" s="105" t="n"/>
      <c r="AD475" s="22" t="n"/>
      <c r="AE475" s="105" t="n"/>
      <c r="AF475" s="22" t="n"/>
      <c r="AG475" s="105" t="n"/>
      <c r="AH475" s="105" t="n"/>
      <c r="AI475" s="105" t="n"/>
      <c r="AJ475" s="105" t="n"/>
      <c r="AK475" s="21">
        <f>IF(Q475="ANULADA","N/A",IF(ABS(AJ475)&gt;10,"Pendiente",IF(MAX(AB475,AD475,AF475)=0,"Pendiente",MAX(0,MAX(AB475,AD475,AF475)-O475))))</f>
        <v/>
      </c>
    </row>
    <row r="476" hidden="1" ht="15" customHeight="1">
      <c r="A476" s="22" t="n"/>
      <c r="B476" s="22" t="n"/>
      <c r="C476" s="22" t="n"/>
      <c r="D476" s="13" t="n"/>
      <c r="E476" s="13" t="n"/>
      <c r="F476" s="13" t="n"/>
      <c r="G476" s="13" t="n"/>
      <c r="H476" s="23" t="n"/>
      <c r="I476" s="104" t="n"/>
      <c r="J476" s="105" t="n"/>
      <c r="K476" s="105" t="n"/>
      <c r="L476" s="13" t="n"/>
      <c r="M476" s="22" t="n"/>
      <c r="N476" s="24" t="n"/>
      <c r="O476" s="106" t="n"/>
      <c r="P476" s="22" t="n"/>
      <c r="Q476" s="22" t="n"/>
      <c r="R476" s="22" t="n"/>
      <c r="S476" s="105" t="n"/>
      <c r="T476" s="105" t="n"/>
      <c r="U476" s="105" t="n"/>
      <c r="V476" s="105" t="n"/>
      <c r="W476" s="105" t="n"/>
      <c r="X476" s="105" t="n"/>
      <c r="Y476" s="105" t="n"/>
      <c r="Z476" s="105" t="n"/>
      <c r="AA476" s="105" t="n"/>
      <c r="AB476" s="22" t="n"/>
      <c r="AC476" s="105" t="n"/>
      <c r="AD476" s="22" t="n"/>
      <c r="AE476" s="105" t="n"/>
      <c r="AF476" s="22" t="n"/>
      <c r="AG476" s="105" t="n"/>
      <c r="AH476" s="105" t="n"/>
      <c r="AI476" s="105" t="n"/>
      <c r="AJ476" s="105" t="n"/>
      <c r="AK476" s="21">
        <f>IF(Q476="ANULADA","N/A",IF(ABS(AJ476)&gt;10,"Pendiente",IF(MAX(AB476,AD476,AF476)=0,"Pendiente",MAX(0,MAX(AB476,AD476,AF476)-O476))))</f>
        <v/>
      </c>
    </row>
    <row r="477" hidden="1" ht="15" customHeight="1">
      <c r="A477" s="22" t="n"/>
      <c r="B477" s="22" t="n"/>
      <c r="C477" s="22" t="n"/>
      <c r="D477" s="13" t="n"/>
      <c r="E477" s="13" t="n"/>
      <c r="F477" s="13" t="n"/>
      <c r="G477" s="13" t="n"/>
      <c r="H477" s="23" t="n"/>
      <c r="I477" s="104" t="n"/>
      <c r="J477" s="105" t="n"/>
      <c r="K477" s="105" t="n"/>
      <c r="L477" s="13" t="n"/>
      <c r="M477" s="22" t="n"/>
      <c r="N477" s="24" t="n"/>
      <c r="O477" s="106" t="n"/>
      <c r="P477" s="22" t="n"/>
      <c r="Q477" s="39" t="n"/>
      <c r="R477" s="22" t="n"/>
      <c r="S477" s="105" t="n"/>
      <c r="T477" s="105" t="n"/>
      <c r="U477" s="105" t="n"/>
      <c r="V477" s="105" t="n"/>
      <c r="W477" s="105" t="n"/>
      <c r="X477" s="105" t="n"/>
      <c r="Y477" s="105" t="n"/>
      <c r="Z477" s="105" t="n"/>
      <c r="AA477" s="105" t="n"/>
      <c r="AB477" s="22" t="n"/>
      <c r="AC477" s="105" t="n"/>
      <c r="AD477" s="22" t="n"/>
      <c r="AE477" s="105" t="n"/>
      <c r="AF477" s="22" t="n"/>
      <c r="AG477" s="105" t="n"/>
      <c r="AH477" s="105" t="n"/>
      <c r="AI477" s="105" t="n"/>
      <c r="AJ477" s="105" t="n"/>
      <c r="AK477" s="21">
        <f>IF(Q477="ANULADA","N/A",IF(ABS(AJ477)&gt;10,"Pendiente",IF(MAX(AB477,AD477,AF477)=0,"Pendiente",MAX(0,MAX(AB477,AD477,AF477)-O477))))</f>
        <v/>
      </c>
    </row>
    <row r="478" hidden="1" ht="15" customHeight="1">
      <c r="A478" s="22" t="n"/>
      <c r="B478" s="22" t="n"/>
      <c r="C478" s="22" t="n"/>
      <c r="D478" s="13" t="n"/>
      <c r="E478" s="13" t="n"/>
      <c r="F478" s="13" t="n"/>
      <c r="G478" s="13" t="n"/>
      <c r="H478" s="23" t="n"/>
      <c r="I478" s="104" t="n"/>
      <c r="J478" s="105" t="n"/>
      <c r="K478" s="105" t="n"/>
      <c r="L478" s="13" t="n"/>
      <c r="M478" s="22" t="n"/>
      <c r="N478" s="24" t="n"/>
      <c r="O478" s="106" t="n"/>
      <c r="P478" s="22" t="n"/>
      <c r="Q478" s="39" t="n"/>
      <c r="R478" s="22" t="n"/>
      <c r="S478" s="105" t="n"/>
      <c r="T478" s="105" t="n"/>
      <c r="U478" s="105" t="n"/>
      <c r="V478" s="105" t="n"/>
      <c r="W478" s="105" t="n"/>
      <c r="X478" s="105" t="n"/>
      <c r="Y478" s="105" t="n"/>
      <c r="Z478" s="105" t="n"/>
      <c r="AA478" s="105" t="n"/>
      <c r="AB478" s="22" t="n"/>
      <c r="AC478" s="105" t="n"/>
      <c r="AD478" s="22" t="n"/>
      <c r="AE478" s="105" t="n"/>
      <c r="AF478" s="22" t="n"/>
      <c r="AG478" s="105" t="n"/>
      <c r="AH478" s="105" t="n"/>
      <c r="AI478" s="105" t="n"/>
      <c r="AJ478" s="105" t="n"/>
      <c r="AK478" s="21">
        <f>IF(Q478="ANULADA","N/A",IF(ABS(AJ478)&gt;10,"Pendiente",IF(MAX(AB478,AD478,AF478)=0,"Pendiente",MAX(0,MAX(AB478,AD478,AF478)-O478))))</f>
        <v/>
      </c>
    </row>
    <row r="479" hidden="1" ht="15" customHeight="1">
      <c r="A479" s="22" t="n"/>
      <c r="B479" s="22" t="n"/>
      <c r="C479" s="22" t="n"/>
      <c r="D479" s="13" t="n"/>
      <c r="E479" s="13" t="n"/>
      <c r="F479" s="13" t="n"/>
      <c r="G479" s="13" t="n"/>
      <c r="H479" s="23" t="n"/>
      <c r="I479" s="104" t="n"/>
      <c r="J479" s="105" t="n"/>
      <c r="K479" s="105" t="n"/>
      <c r="L479" s="13" t="n"/>
      <c r="M479" s="22" t="n"/>
      <c r="N479" s="24" t="n"/>
      <c r="O479" s="106" t="n"/>
      <c r="P479" s="22" t="n"/>
      <c r="Q479" s="22" t="n"/>
      <c r="R479" s="22" t="n"/>
      <c r="S479" s="105" t="n"/>
      <c r="T479" s="105" t="n"/>
      <c r="U479" s="105" t="n"/>
      <c r="V479" s="105" t="n"/>
      <c r="W479" s="105" t="n"/>
      <c r="X479" s="105" t="n"/>
      <c r="Y479" s="105" t="n"/>
      <c r="Z479" s="105" t="n"/>
      <c r="AA479" s="105" t="n"/>
      <c r="AB479" s="22" t="n"/>
      <c r="AC479" s="105" t="n"/>
      <c r="AD479" s="22" t="n"/>
      <c r="AE479" s="105" t="n"/>
      <c r="AF479" s="22" t="n"/>
      <c r="AG479" s="105" t="n"/>
      <c r="AH479" s="105" t="n"/>
      <c r="AI479" s="105" t="n"/>
      <c r="AJ479" s="105" t="n"/>
      <c r="AK479" s="21">
        <f>IF(Q479="ANULADA","N/A",IF(ABS(AJ479)&gt;10,"Pendiente",IF(MAX(AB479,AD479,AF479)=0,"Pendiente",MAX(0,MAX(AB479,AD479,AF479)-O479))))</f>
        <v/>
      </c>
    </row>
    <row r="480" hidden="1" ht="15" customHeight="1">
      <c r="A480" s="22" t="n"/>
      <c r="B480" s="22" t="n"/>
      <c r="C480" s="22" t="n"/>
      <c r="D480" s="13" t="n"/>
      <c r="E480" s="13" t="n"/>
      <c r="F480" s="13" t="n"/>
      <c r="G480" s="13" t="n"/>
      <c r="H480" s="23" t="n"/>
      <c r="I480" s="104" t="n"/>
      <c r="J480" s="105" t="n"/>
      <c r="K480" s="105" t="n"/>
      <c r="L480" s="13" t="n"/>
      <c r="M480" s="22" t="n"/>
      <c r="N480" s="24" t="n"/>
      <c r="O480" s="106" t="n"/>
      <c r="P480" s="22" t="n"/>
      <c r="Q480" s="22" t="n"/>
      <c r="R480" s="22" t="n"/>
      <c r="S480" s="105" t="n"/>
      <c r="T480" s="105" t="n"/>
      <c r="U480" s="105" t="n"/>
      <c r="V480" s="105" t="n"/>
      <c r="W480" s="105" t="n"/>
      <c r="X480" s="105" t="n"/>
      <c r="Y480" s="105" t="n"/>
      <c r="Z480" s="105" t="n"/>
      <c r="AA480" s="105" t="n"/>
      <c r="AB480" s="22" t="n"/>
      <c r="AC480" s="105" t="n"/>
      <c r="AD480" s="22" t="n"/>
      <c r="AE480" s="105" t="n"/>
      <c r="AF480" s="22" t="n"/>
      <c r="AG480" s="105" t="n"/>
      <c r="AH480" s="105" t="n"/>
      <c r="AI480" s="105" t="n"/>
      <c r="AJ480" s="105" t="n"/>
      <c r="AK480" s="21">
        <f>IF(Q480="ANULADA","N/A",IF(ABS(AJ480)&gt;10,"Pendiente",IF(MAX(AB480,AD480,AF480)=0,"Pendiente",MAX(0,MAX(AB480,AD480,AF480)-O480))))</f>
        <v/>
      </c>
    </row>
    <row r="481" hidden="1" ht="15" customHeight="1">
      <c r="A481" s="22" t="n"/>
      <c r="B481" s="22" t="n"/>
      <c r="C481" s="22" t="n"/>
      <c r="D481" s="13" t="n"/>
      <c r="E481" s="13" t="n"/>
      <c r="F481" s="13" t="n"/>
      <c r="G481" s="13" t="n"/>
      <c r="H481" s="23" t="n"/>
      <c r="I481" s="104" t="n"/>
      <c r="J481" s="105" t="n"/>
      <c r="K481" s="105" t="n"/>
      <c r="L481" s="13" t="n"/>
      <c r="M481" s="22" t="n"/>
      <c r="N481" s="24" t="n"/>
      <c r="O481" s="106" t="n"/>
      <c r="P481" s="22" t="n"/>
      <c r="Q481" s="22" t="n"/>
      <c r="R481" s="22" t="n"/>
      <c r="S481" s="105" t="n"/>
      <c r="T481" s="105" t="n"/>
      <c r="U481" s="105" t="n"/>
      <c r="V481" s="105" t="n"/>
      <c r="W481" s="105" t="n"/>
      <c r="X481" s="105" t="n"/>
      <c r="Y481" s="105" t="n"/>
      <c r="Z481" s="105" t="n"/>
      <c r="AA481" s="105" t="n"/>
      <c r="AB481" s="22" t="n"/>
      <c r="AC481" s="105" t="n"/>
      <c r="AD481" s="22" t="n"/>
      <c r="AE481" s="105" t="n"/>
      <c r="AF481" s="22" t="n"/>
      <c r="AG481" s="105" t="n"/>
      <c r="AH481" s="105" t="n"/>
      <c r="AI481" s="105" t="n"/>
      <c r="AJ481" s="105" t="n"/>
      <c r="AK481" s="21">
        <f>IF(Q481="ANULADA","N/A",IF(ABS(AJ481)&gt;10,"Pendiente",IF(MAX(AB481,AD481,AF481)=0,"Pendiente",MAX(0,MAX(AB481,AD481,AF481)-O481))))</f>
        <v/>
      </c>
    </row>
    <row r="482" hidden="1" ht="15" customHeight="1">
      <c r="A482" s="22" t="n"/>
      <c r="B482" s="22" t="n"/>
      <c r="C482" s="22" t="n"/>
      <c r="D482" s="13" t="n"/>
      <c r="E482" s="13" t="n"/>
      <c r="F482" s="13" t="n"/>
      <c r="G482" s="13" t="n"/>
      <c r="H482" s="23" t="n"/>
      <c r="I482" s="104" t="n"/>
      <c r="J482" s="105" t="n"/>
      <c r="K482" s="105" t="n"/>
      <c r="L482" s="13" t="n"/>
      <c r="M482" s="22" t="n"/>
      <c r="N482" s="24" t="n"/>
      <c r="O482" s="106" t="n"/>
      <c r="P482" s="22" t="n"/>
      <c r="Q482" s="39" t="n"/>
      <c r="R482" s="22" t="n"/>
      <c r="S482" s="105" t="n"/>
      <c r="T482" s="105" t="n"/>
      <c r="U482" s="105" t="n"/>
      <c r="V482" s="105" t="n"/>
      <c r="W482" s="105" t="n"/>
      <c r="X482" s="105" t="n"/>
      <c r="Y482" s="105" t="n"/>
      <c r="Z482" s="105" t="n"/>
      <c r="AA482" s="105" t="n"/>
      <c r="AB482" s="22" t="n"/>
      <c r="AC482" s="105" t="n"/>
      <c r="AD482" s="22" t="n"/>
      <c r="AE482" s="105" t="n"/>
      <c r="AF482" s="22" t="n"/>
      <c r="AG482" s="105" t="n"/>
      <c r="AH482" s="105" t="n"/>
      <c r="AI482" s="105" t="n"/>
      <c r="AJ482" s="105" t="n"/>
      <c r="AK482" s="21">
        <f>IF(Q482="ANULADA","N/A",IF(ABS(AJ482)&gt;10,"Pendiente",IF(MAX(AB482,AD482,AF482)=0,"Pendiente",MAX(0,MAX(AB482,AD482,AF482)-O482))))</f>
        <v/>
      </c>
    </row>
    <row r="483" hidden="1" ht="15" customHeight="1">
      <c r="A483" s="22" t="n"/>
      <c r="B483" s="22" t="n"/>
      <c r="C483" s="22" t="n"/>
      <c r="D483" s="13" t="n"/>
      <c r="E483" s="13" t="n"/>
      <c r="F483" s="13" t="n"/>
      <c r="G483" s="13" t="n"/>
      <c r="H483" s="23" t="n"/>
      <c r="I483" s="104" t="n"/>
      <c r="J483" s="105" t="n"/>
      <c r="K483" s="105" t="n"/>
      <c r="L483" s="13" t="n"/>
      <c r="M483" s="22" t="n"/>
      <c r="N483" s="24" t="n"/>
      <c r="O483" s="106" t="n"/>
      <c r="P483" s="22" t="n"/>
      <c r="Q483" s="22" t="n"/>
      <c r="R483" s="22" t="n"/>
      <c r="S483" s="105" t="n"/>
      <c r="T483" s="105" t="n"/>
      <c r="U483" s="105" t="n"/>
      <c r="V483" s="105" t="n"/>
      <c r="W483" s="105" t="n"/>
      <c r="X483" s="105" t="n"/>
      <c r="Y483" s="105" t="n"/>
      <c r="Z483" s="105" t="n"/>
      <c r="AA483" s="105" t="n"/>
      <c r="AB483" s="22" t="n"/>
      <c r="AC483" s="105" t="n"/>
      <c r="AD483" s="22" t="n"/>
      <c r="AE483" s="105" t="n"/>
      <c r="AF483" s="22" t="n"/>
      <c r="AG483" s="105" t="n"/>
      <c r="AH483" s="105" t="n"/>
      <c r="AI483" s="105" t="n"/>
      <c r="AJ483" s="105" t="n"/>
      <c r="AK483" s="21">
        <f>IF(Q483="ANULADA","N/A",IF(ABS(AJ483)&gt;10,"Pendiente",IF(MAX(AB483,AD483,AF483)=0,"Pendiente",MAX(0,MAX(AB483,AD483,AF483)-O483))))</f>
        <v/>
      </c>
    </row>
    <row r="484" hidden="1" ht="15" customHeight="1">
      <c r="A484" s="22" t="n"/>
      <c r="B484" s="22" t="n"/>
      <c r="C484" s="22" t="n"/>
      <c r="D484" s="13" t="n"/>
      <c r="E484" s="13" t="n"/>
      <c r="F484" s="13" t="n"/>
      <c r="G484" s="13" t="n"/>
      <c r="H484" s="23" t="n"/>
      <c r="I484" s="104" t="n"/>
      <c r="J484" s="105" t="n"/>
      <c r="K484" s="105" t="n"/>
      <c r="L484" s="13" t="n"/>
      <c r="M484" s="22" t="n"/>
      <c r="N484" s="24" t="n"/>
      <c r="O484" s="106" t="n"/>
      <c r="P484" s="22" t="n"/>
      <c r="Q484" s="39" t="n"/>
      <c r="R484" s="22" t="n"/>
      <c r="S484" s="105" t="n"/>
      <c r="T484" s="105" t="n"/>
      <c r="U484" s="105" t="n"/>
      <c r="V484" s="105" t="n"/>
      <c r="W484" s="105" t="n"/>
      <c r="X484" s="105" t="n"/>
      <c r="Y484" s="105" t="n"/>
      <c r="Z484" s="105" t="n"/>
      <c r="AA484" s="105" t="n"/>
      <c r="AB484" s="22" t="n"/>
      <c r="AC484" s="105" t="n"/>
      <c r="AD484" s="22" t="n"/>
      <c r="AE484" s="105" t="n"/>
      <c r="AF484" s="22" t="n"/>
      <c r="AG484" s="105" t="n"/>
      <c r="AH484" s="105" t="n"/>
      <c r="AI484" s="105" t="n"/>
      <c r="AJ484" s="105" t="n"/>
      <c r="AK484" s="21">
        <f>IF(Q484="ANULADA","N/A",IF(ABS(AJ484)&gt;10,"Pendiente",IF(MAX(AB484,AD484,AF484)=0,"Pendiente",MAX(0,MAX(AB484,AD484,AF484)-O484))))</f>
        <v/>
      </c>
    </row>
    <row r="485" hidden="1" ht="15" customHeight="1">
      <c r="A485" s="22" t="n"/>
      <c r="B485" s="22" t="n"/>
      <c r="C485" s="22" t="n"/>
      <c r="D485" s="13" t="n"/>
      <c r="E485" s="13" t="n"/>
      <c r="F485" s="13" t="n"/>
      <c r="G485" s="13" t="n"/>
      <c r="H485" s="23" t="n"/>
      <c r="I485" s="104" t="n"/>
      <c r="J485" s="105" t="n"/>
      <c r="K485" s="105" t="n"/>
      <c r="L485" s="13" t="n"/>
      <c r="M485" s="22" t="n"/>
      <c r="N485" s="24" t="n"/>
      <c r="O485" s="106" t="n"/>
      <c r="P485" s="22" t="n"/>
      <c r="Q485" s="39" t="n"/>
      <c r="R485" s="22" t="n"/>
      <c r="S485" s="105" t="n"/>
      <c r="T485" s="105" t="n"/>
      <c r="U485" s="105" t="n"/>
      <c r="V485" s="105" t="n"/>
      <c r="W485" s="105" t="n"/>
      <c r="X485" s="105" t="n"/>
      <c r="Y485" s="105" t="n"/>
      <c r="Z485" s="105" t="n"/>
      <c r="AA485" s="105" t="n"/>
      <c r="AB485" s="22" t="n"/>
      <c r="AC485" s="105" t="n"/>
      <c r="AD485" s="22" t="n"/>
      <c r="AE485" s="105" t="n"/>
      <c r="AF485" s="22" t="n"/>
      <c r="AG485" s="105" t="n"/>
      <c r="AH485" s="105" t="n"/>
      <c r="AI485" s="105" t="n"/>
      <c r="AJ485" s="105" t="n"/>
      <c r="AK485" s="21">
        <f>IF(Q485="ANULADA","N/A",IF(ABS(AJ485)&gt;10,"Pendiente",IF(MAX(AB485,AD485,AF485)=0,"Pendiente",MAX(0,MAX(AB485,AD485,AF485)-O485))))</f>
        <v/>
      </c>
    </row>
    <row r="486" hidden="1" ht="15" customHeight="1">
      <c r="A486" s="22" t="n"/>
      <c r="B486" s="22" t="n"/>
      <c r="C486" s="22" t="n"/>
      <c r="D486" s="13" t="n"/>
      <c r="E486" s="13" t="n"/>
      <c r="F486" s="13" t="n"/>
      <c r="G486" s="13" t="n"/>
      <c r="H486" s="23" t="n"/>
      <c r="I486" s="104" t="n"/>
      <c r="J486" s="105" t="n"/>
      <c r="K486" s="105" t="n"/>
      <c r="L486" s="13" t="n"/>
      <c r="M486" s="22" t="n"/>
      <c r="N486" s="24" t="n"/>
      <c r="O486" s="106" t="n"/>
      <c r="P486" s="22" t="n"/>
      <c r="Q486" s="22" t="n"/>
      <c r="R486" s="22" t="n"/>
      <c r="S486" s="105" t="n"/>
      <c r="T486" s="105" t="n"/>
      <c r="U486" s="105" t="n"/>
      <c r="V486" s="105" t="n"/>
      <c r="W486" s="105" t="n"/>
      <c r="X486" s="105" t="n"/>
      <c r="Y486" s="105" t="n"/>
      <c r="Z486" s="105" t="n"/>
      <c r="AA486" s="105" t="n"/>
      <c r="AB486" s="22" t="n"/>
      <c r="AC486" s="105" t="n"/>
      <c r="AD486" s="22" t="n"/>
      <c r="AE486" s="105" t="n"/>
      <c r="AF486" s="22" t="n"/>
      <c r="AG486" s="105" t="n"/>
      <c r="AH486" s="105" t="n"/>
      <c r="AI486" s="105" t="n"/>
      <c r="AJ486" s="105" t="n"/>
      <c r="AK486" s="21">
        <f>IF(Q486="ANULADA","N/A",IF(ABS(AJ486)&gt;10,"Pendiente",IF(MAX(AB486,AD486,AF486)=0,"Pendiente",MAX(0,MAX(AB486,AD486,AF486)-O486))))</f>
        <v/>
      </c>
    </row>
    <row r="487" hidden="1" ht="15" customHeight="1">
      <c r="A487" s="22" t="n"/>
      <c r="B487" s="22" t="n"/>
      <c r="C487" s="22" t="n"/>
      <c r="D487" s="13" t="n"/>
      <c r="E487" s="13" t="n"/>
      <c r="F487" s="13" t="n"/>
      <c r="G487" s="13" t="n"/>
      <c r="H487" s="23" t="n"/>
      <c r="I487" s="104" t="n"/>
      <c r="J487" s="105" t="n"/>
      <c r="K487" s="105" t="n"/>
      <c r="L487" s="13" t="n"/>
      <c r="M487" s="22" t="n"/>
      <c r="N487" s="24" t="n"/>
      <c r="O487" s="106" t="n"/>
      <c r="P487" s="22" t="n"/>
      <c r="Q487" s="22" t="n"/>
      <c r="R487" s="22" t="n"/>
      <c r="S487" s="105" t="n"/>
      <c r="T487" s="105" t="n"/>
      <c r="U487" s="105" t="n"/>
      <c r="V487" s="105" t="n"/>
      <c r="W487" s="105" t="n"/>
      <c r="X487" s="105" t="n"/>
      <c r="Y487" s="105" t="n"/>
      <c r="Z487" s="105" t="n"/>
      <c r="AA487" s="105" t="n"/>
      <c r="AB487" s="22" t="n"/>
      <c r="AC487" s="105" t="n"/>
      <c r="AD487" s="22" t="n"/>
      <c r="AE487" s="105" t="n"/>
      <c r="AF487" s="22" t="n"/>
      <c r="AG487" s="105" t="n"/>
      <c r="AH487" s="105" t="n"/>
      <c r="AI487" s="105" t="n"/>
      <c r="AJ487" s="105" t="n"/>
      <c r="AK487" s="21">
        <f>IF(Q487="ANULADA","N/A",IF(ABS(AJ487)&gt;10,"Pendiente",IF(MAX(AB487,AD487,AF487)=0,"Pendiente",MAX(0,MAX(AB487,AD487,AF487)-O487))))</f>
        <v/>
      </c>
    </row>
    <row r="488" hidden="1" ht="15" customHeight="1">
      <c r="A488" s="22" t="n"/>
      <c r="B488" s="22" t="n"/>
      <c r="C488" s="22" t="n"/>
      <c r="D488" s="13" t="n"/>
      <c r="E488" s="13" t="n"/>
      <c r="F488" s="13" t="n"/>
      <c r="G488" s="13" t="n"/>
      <c r="H488" s="23" t="n"/>
      <c r="I488" s="104" t="n"/>
      <c r="J488" s="105" t="n"/>
      <c r="K488" s="105" t="n"/>
      <c r="L488" s="13" t="n"/>
      <c r="M488" s="22" t="n"/>
      <c r="N488" s="24" t="n"/>
      <c r="O488" s="106" t="n"/>
      <c r="P488" s="22" t="n"/>
      <c r="Q488" s="22" t="n"/>
      <c r="R488" s="22" t="n"/>
      <c r="S488" s="105" t="n"/>
      <c r="T488" s="105" t="n"/>
      <c r="U488" s="105" t="n"/>
      <c r="V488" s="105" t="n"/>
      <c r="W488" s="105" t="n"/>
      <c r="X488" s="105" t="n"/>
      <c r="Y488" s="105" t="n"/>
      <c r="Z488" s="105" t="n"/>
      <c r="AA488" s="105" t="n"/>
      <c r="AB488" s="22" t="n"/>
      <c r="AC488" s="105" t="n"/>
      <c r="AD488" s="22" t="n"/>
      <c r="AE488" s="105" t="n"/>
      <c r="AF488" s="22" t="n"/>
      <c r="AG488" s="105" t="n"/>
      <c r="AH488" s="105" t="n"/>
      <c r="AI488" s="105" t="n"/>
      <c r="AJ488" s="105" t="n"/>
      <c r="AK488" s="21">
        <f>IF(Q488="ANULADA","N/A",IF(ABS(AJ488)&gt;10,"Pendiente",IF(MAX(AB488,AD488,AF488)=0,"Pendiente",MAX(0,MAX(AB488,AD488,AF488)-O488))))</f>
        <v/>
      </c>
    </row>
    <row r="489" hidden="1" ht="15" customHeight="1">
      <c r="A489" s="22" t="n"/>
      <c r="B489" s="22" t="n"/>
      <c r="C489" s="22" t="n"/>
      <c r="D489" s="13" t="n"/>
      <c r="E489" s="13" t="n"/>
      <c r="F489" s="13" t="n"/>
      <c r="G489" s="13" t="n"/>
      <c r="H489" s="23" t="n"/>
      <c r="I489" s="104" t="n"/>
      <c r="J489" s="105" t="n"/>
      <c r="K489" s="105" t="n"/>
      <c r="L489" s="13" t="n"/>
      <c r="M489" s="22" t="n"/>
      <c r="N489" s="24" t="n"/>
      <c r="O489" s="106" t="n"/>
      <c r="P489" s="22" t="n"/>
      <c r="Q489" s="39" t="n"/>
      <c r="R489" s="22" t="n"/>
      <c r="S489" s="105" t="n"/>
      <c r="T489" s="105" t="n"/>
      <c r="U489" s="105" t="n"/>
      <c r="V489" s="105" t="n"/>
      <c r="W489" s="105" t="n"/>
      <c r="X489" s="105" t="n"/>
      <c r="Y489" s="105" t="n"/>
      <c r="Z489" s="105" t="n"/>
      <c r="AA489" s="105" t="n"/>
      <c r="AB489" s="22" t="n"/>
      <c r="AC489" s="105" t="n"/>
      <c r="AD489" s="22" t="n"/>
      <c r="AE489" s="105" t="n"/>
      <c r="AF489" s="22" t="n"/>
      <c r="AG489" s="105" t="n"/>
      <c r="AH489" s="105" t="n"/>
      <c r="AI489" s="105" t="n"/>
      <c r="AJ489" s="105" t="n"/>
      <c r="AK489" s="21">
        <f>IF(Q489="ANULADA","N/A",IF(ABS(AJ489)&gt;10,"Pendiente",IF(MAX(AB489,AD489,AF489)=0,"Pendiente",MAX(0,MAX(AB489,AD489,AF489)-O489))))</f>
        <v/>
      </c>
    </row>
    <row r="490" hidden="1" ht="15" customHeight="1">
      <c r="A490" s="22" t="n"/>
      <c r="B490" s="22" t="n"/>
      <c r="C490" s="22" t="n"/>
      <c r="D490" s="13" t="n"/>
      <c r="E490" s="13" t="n"/>
      <c r="F490" s="13" t="n"/>
      <c r="G490" s="13" t="n"/>
      <c r="H490" s="23" t="n"/>
      <c r="I490" s="104" t="n"/>
      <c r="J490" s="105" t="n"/>
      <c r="K490" s="105" t="n"/>
      <c r="L490" s="13" t="n"/>
      <c r="M490" s="22" t="n"/>
      <c r="N490" s="24" t="n"/>
      <c r="O490" s="106" t="n"/>
      <c r="P490" s="22" t="n"/>
      <c r="Q490" s="22" t="n"/>
      <c r="R490" s="22" t="n"/>
      <c r="S490" s="105" t="n"/>
      <c r="T490" s="105" t="n"/>
      <c r="U490" s="105" t="n"/>
      <c r="V490" s="105" t="n"/>
      <c r="W490" s="105" t="n"/>
      <c r="X490" s="105" t="n"/>
      <c r="Y490" s="105" t="n"/>
      <c r="Z490" s="105" t="n"/>
      <c r="AA490" s="105" t="n"/>
      <c r="AB490" s="22" t="n"/>
      <c r="AC490" s="105" t="n"/>
      <c r="AD490" s="22" t="n"/>
      <c r="AE490" s="105" t="n"/>
      <c r="AF490" s="22" t="n"/>
      <c r="AG490" s="105" t="n"/>
      <c r="AH490" s="105" t="n"/>
      <c r="AI490" s="105" t="n"/>
      <c r="AJ490" s="105" t="n"/>
      <c r="AK490" s="21">
        <f>IF(Q490="ANULADA","N/A",IF(ABS(AJ490)&gt;10,"Pendiente",IF(MAX(AB490,AD490,AF490)=0,"Pendiente",MAX(0,MAX(AB490,AD490,AF490)-O490))))</f>
        <v/>
      </c>
    </row>
    <row r="491" hidden="1" ht="15" customHeight="1">
      <c r="A491" s="22" t="n"/>
      <c r="B491" s="22" t="n"/>
      <c r="C491" s="22" t="n"/>
      <c r="D491" s="13" t="n"/>
      <c r="E491" s="13" t="n"/>
      <c r="F491" s="13" t="n"/>
      <c r="G491" s="13" t="n"/>
      <c r="H491" s="23" t="n"/>
      <c r="I491" s="104" t="n"/>
      <c r="J491" s="105" t="n"/>
      <c r="K491" s="105" t="n"/>
      <c r="L491" s="13" t="n"/>
      <c r="M491" s="22" t="n"/>
      <c r="N491" s="24" t="n"/>
      <c r="O491" s="106" t="n"/>
      <c r="P491" s="22" t="n"/>
      <c r="Q491" s="39" t="n"/>
      <c r="R491" s="22" t="n"/>
      <c r="S491" s="105" t="n"/>
      <c r="T491" s="105" t="n"/>
      <c r="U491" s="105" t="n"/>
      <c r="V491" s="105" t="n"/>
      <c r="W491" s="105" t="n"/>
      <c r="X491" s="105" t="n"/>
      <c r="Y491" s="105" t="n"/>
      <c r="Z491" s="105" t="n"/>
      <c r="AA491" s="105" t="n"/>
      <c r="AB491" s="22" t="n"/>
      <c r="AC491" s="105" t="n"/>
      <c r="AD491" s="22" t="n"/>
      <c r="AE491" s="105" t="n"/>
      <c r="AF491" s="22" t="n"/>
      <c r="AG491" s="105" t="n"/>
      <c r="AH491" s="105" t="n"/>
      <c r="AI491" s="105" t="n"/>
      <c r="AJ491" s="105" t="n"/>
      <c r="AK491" s="21">
        <f>IF(Q491="ANULADA","N/A",IF(ABS(AJ491)&gt;10,"Pendiente",IF(MAX(AB491,AD491,AF491)=0,"Pendiente",MAX(0,MAX(AB491,AD491,AF491)-O491))))</f>
        <v/>
      </c>
    </row>
    <row r="492" hidden="1" ht="15" customHeight="1">
      <c r="A492" s="22" t="n"/>
      <c r="B492" s="22" t="n"/>
      <c r="C492" s="22" t="n"/>
      <c r="D492" s="13" t="n"/>
      <c r="E492" s="13" t="n"/>
      <c r="F492" s="13" t="n"/>
      <c r="G492" s="13" t="n"/>
      <c r="H492" s="23" t="n"/>
      <c r="I492" s="104" t="n"/>
      <c r="J492" s="105" t="n"/>
      <c r="K492" s="105" t="n"/>
      <c r="L492" s="13" t="n"/>
      <c r="M492" s="22" t="n"/>
      <c r="N492" s="24" t="n"/>
      <c r="O492" s="106" t="n"/>
      <c r="P492" s="22" t="n"/>
      <c r="Q492" s="39" t="n"/>
      <c r="R492" s="22" t="n"/>
      <c r="S492" s="105" t="n"/>
      <c r="T492" s="105" t="n"/>
      <c r="U492" s="105" t="n"/>
      <c r="V492" s="105" t="n"/>
      <c r="W492" s="105" t="n"/>
      <c r="X492" s="105" t="n"/>
      <c r="Y492" s="105" t="n"/>
      <c r="Z492" s="105" t="n"/>
      <c r="AA492" s="105" t="n"/>
      <c r="AB492" s="22" t="n"/>
      <c r="AC492" s="105" t="n"/>
      <c r="AD492" s="22" t="n"/>
      <c r="AE492" s="105" t="n"/>
      <c r="AF492" s="22" t="n"/>
      <c r="AG492" s="105" t="n"/>
      <c r="AH492" s="105" t="n"/>
      <c r="AI492" s="105" t="n"/>
      <c r="AJ492" s="105" t="n"/>
      <c r="AK492" s="21">
        <f>IF(Q492="ANULADA","N/A",IF(ABS(AJ492)&gt;10,"Pendiente",IF(MAX(AB492,AD492,AF492)=0,"Pendiente",MAX(0,MAX(AB492,AD492,AF492)-O492))))</f>
        <v/>
      </c>
    </row>
    <row r="493" hidden="1" ht="15" customHeight="1">
      <c r="A493" s="22" t="n"/>
      <c r="B493" s="22" t="n"/>
      <c r="C493" s="22" t="n"/>
      <c r="D493" s="13" t="n"/>
      <c r="E493" s="13" t="n"/>
      <c r="F493" s="13" t="n"/>
      <c r="G493" s="13" t="n"/>
      <c r="H493" s="23" t="n"/>
      <c r="I493" s="104" t="n"/>
      <c r="J493" s="105" t="n"/>
      <c r="K493" s="105" t="n"/>
      <c r="L493" s="13" t="n"/>
      <c r="M493" s="22" t="n"/>
      <c r="N493" s="24" t="n"/>
      <c r="O493" s="106" t="n"/>
      <c r="P493" s="22" t="n"/>
      <c r="Q493" s="22" t="n"/>
      <c r="R493" s="22" t="n"/>
      <c r="S493" s="105" t="n"/>
      <c r="T493" s="105" t="n"/>
      <c r="U493" s="105" t="n"/>
      <c r="V493" s="105" t="n"/>
      <c r="W493" s="105" t="n"/>
      <c r="X493" s="105" t="n"/>
      <c r="Y493" s="105" t="n"/>
      <c r="Z493" s="105" t="n"/>
      <c r="AA493" s="105" t="n"/>
      <c r="AB493" s="22" t="n"/>
      <c r="AC493" s="105" t="n"/>
      <c r="AD493" s="22" t="n"/>
      <c r="AE493" s="105" t="n"/>
      <c r="AF493" s="22" t="n"/>
      <c r="AG493" s="105" t="n"/>
      <c r="AH493" s="105" t="n"/>
      <c r="AI493" s="105" t="n"/>
      <c r="AJ493" s="105" t="n"/>
      <c r="AK493" s="21">
        <f>IF(Q493="ANULADA","N/A",IF(ABS(AJ493)&gt;10,"Pendiente",IF(MAX(AB493,AD493,AF493)=0,"Pendiente",MAX(0,MAX(AB493,AD493,AF493)-O493))))</f>
        <v/>
      </c>
    </row>
    <row r="494" hidden="1" ht="15" customHeight="1">
      <c r="A494" s="22" t="n"/>
      <c r="B494" s="22" t="n"/>
      <c r="C494" s="22" t="n"/>
      <c r="D494" s="13" t="n"/>
      <c r="E494" s="13" t="n"/>
      <c r="F494" s="13" t="n"/>
      <c r="G494" s="13" t="n"/>
      <c r="H494" s="23" t="n"/>
      <c r="I494" s="104" t="n"/>
      <c r="J494" s="105" t="n"/>
      <c r="K494" s="105" t="n"/>
      <c r="L494" s="13" t="n"/>
      <c r="M494" s="22" t="n"/>
      <c r="N494" s="24" t="n"/>
      <c r="O494" s="106" t="n"/>
      <c r="P494" s="22" t="n"/>
      <c r="Q494" s="22" t="n"/>
      <c r="R494" s="22" t="n"/>
      <c r="S494" s="105" t="n"/>
      <c r="T494" s="105" t="n"/>
      <c r="U494" s="105" t="n"/>
      <c r="V494" s="105" t="n"/>
      <c r="W494" s="105" t="n"/>
      <c r="X494" s="105" t="n"/>
      <c r="Y494" s="105" t="n"/>
      <c r="Z494" s="105" t="n"/>
      <c r="AA494" s="105" t="n"/>
      <c r="AB494" s="22" t="n"/>
      <c r="AC494" s="105" t="n"/>
      <c r="AD494" s="22" t="n"/>
      <c r="AE494" s="105" t="n"/>
      <c r="AF494" s="22" t="n"/>
      <c r="AG494" s="105" t="n"/>
      <c r="AH494" s="105" t="n"/>
      <c r="AI494" s="105" t="n"/>
      <c r="AJ494" s="105" t="n"/>
      <c r="AK494" s="21">
        <f>IF(Q494="ANULADA","N/A",IF(ABS(AJ494)&gt;10,"Pendiente",IF(MAX(AB494,AD494,AF494)=0,"Pendiente",MAX(0,MAX(AB494,AD494,AF494)-O494))))</f>
        <v/>
      </c>
    </row>
    <row r="495" hidden="1" ht="15" customHeight="1">
      <c r="A495" s="22" t="n"/>
      <c r="B495" s="22" t="n"/>
      <c r="C495" s="22" t="n"/>
      <c r="D495" s="13" t="n"/>
      <c r="E495" s="13" t="n"/>
      <c r="F495" s="13" t="n"/>
      <c r="G495" s="13" t="n"/>
      <c r="H495" s="23" t="n"/>
      <c r="I495" s="104" t="n"/>
      <c r="J495" s="105" t="n"/>
      <c r="K495" s="105" t="n"/>
      <c r="L495" s="13" t="n"/>
      <c r="M495" s="22" t="n"/>
      <c r="N495" s="24" t="n"/>
      <c r="O495" s="106" t="n"/>
      <c r="P495" s="22" t="n"/>
      <c r="Q495" s="22" t="n"/>
      <c r="R495" s="22" t="n"/>
      <c r="S495" s="105" t="n"/>
      <c r="T495" s="105" t="n"/>
      <c r="U495" s="105" t="n"/>
      <c r="V495" s="105" t="n"/>
      <c r="W495" s="105" t="n"/>
      <c r="X495" s="105" t="n"/>
      <c r="Y495" s="105" t="n"/>
      <c r="Z495" s="105" t="n"/>
      <c r="AA495" s="105" t="n"/>
      <c r="AB495" s="22" t="n"/>
      <c r="AC495" s="105" t="n"/>
      <c r="AD495" s="22" t="n"/>
      <c r="AE495" s="105" t="n"/>
      <c r="AF495" s="22" t="n"/>
      <c r="AG495" s="105" t="n"/>
      <c r="AH495" s="105" t="n"/>
      <c r="AI495" s="105" t="n"/>
      <c r="AJ495" s="105" t="n"/>
      <c r="AK495" s="21">
        <f>IF(Q495="ANULADA","N/A",IF(ABS(AJ495)&gt;10,"Pendiente",IF(MAX(AB495,AD495,AF495)=0,"Pendiente",MAX(0,MAX(AB495,AD495,AF495)-O495))))</f>
        <v/>
      </c>
    </row>
    <row r="496" hidden="1" ht="15" customHeight="1">
      <c r="A496" s="22" t="n"/>
      <c r="B496" s="22" t="n"/>
      <c r="C496" s="22" t="n"/>
      <c r="D496" s="13" t="n"/>
      <c r="E496" s="13" t="n"/>
      <c r="F496" s="13" t="n"/>
      <c r="G496" s="13" t="n"/>
      <c r="H496" s="23" t="n"/>
      <c r="I496" s="104" t="n"/>
      <c r="J496" s="105" t="n"/>
      <c r="K496" s="105" t="n"/>
      <c r="L496" s="13" t="n"/>
      <c r="M496" s="22" t="n"/>
      <c r="N496" s="24" t="n"/>
      <c r="O496" s="106" t="n"/>
      <c r="P496" s="22" t="n"/>
      <c r="Q496" s="39" t="n"/>
      <c r="R496" s="22" t="n"/>
      <c r="S496" s="105" t="n"/>
      <c r="T496" s="105" t="n"/>
      <c r="U496" s="105" t="n"/>
      <c r="V496" s="105" t="n"/>
      <c r="W496" s="105" t="n"/>
      <c r="X496" s="105" t="n"/>
      <c r="Y496" s="105" t="n"/>
      <c r="Z496" s="105" t="n"/>
      <c r="AA496" s="105" t="n"/>
      <c r="AB496" s="22" t="n"/>
      <c r="AC496" s="105" t="n"/>
      <c r="AD496" s="22" t="n"/>
      <c r="AE496" s="105" t="n"/>
      <c r="AF496" s="22" t="n"/>
      <c r="AG496" s="105" t="n"/>
      <c r="AH496" s="105" t="n"/>
      <c r="AI496" s="105" t="n"/>
      <c r="AJ496" s="105" t="n"/>
      <c r="AK496" s="21">
        <f>IF(Q496="ANULADA","N/A",IF(ABS(AJ496)&gt;10,"Pendiente",IF(MAX(AB496,AD496,AF496)=0,"Pendiente",MAX(0,MAX(AB496,AD496,AF496)-O496))))</f>
        <v/>
      </c>
    </row>
    <row r="497" hidden="1" ht="15" customHeight="1">
      <c r="A497" s="22" t="n"/>
      <c r="B497" s="22" t="n"/>
      <c r="C497" s="22" t="n"/>
      <c r="D497" s="13" t="n"/>
      <c r="E497" s="13" t="n"/>
      <c r="F497" s="13" t="n"/>
      <c r="G497" s="13" t="n"/>
      <c r="H497" s="23" t="n"/>
      <c r="I497" s="104" t="n"/>
      <c r="J497" s="105" t="n"/>
      <c r="K497" s="105" t="n"/>
      <c r="L497" s="13" t="n"/>
      <c r="M497" s="22" t="n"/>
      <c r="N497" s="24" t="n"/>
      <c r="O497" s="106" t="n"/>
      <c r="P497" s="22" t="n"/>
      <c r="Q497" s="22" t="n"/>
      <c r="R497" s="22" t="n"/>
      <c r="S497" s="105" t="n"/>
      <c r="T497" s="105" t="n"/>
      <c r="U497" s="105" t="n"/>
      <c r="V497" s="105" t="n"/>
      <c r="W497" s="105" t="n"/>
      <c r="X497" s="105" t="n"/>
      <c r="Y497" s="105" t="n"/>
      <c r="Z497" s="105" t="n"/>
      <c r="AA497" s="105" t="n"/>
      <c r="AB497" s="22" t="n"/>
      <c r="AC497" s="105" t="n"/>
      <c r="AD497" s="22" t="n"/>
      <c r="AE497" s="105" t="n"/>
      <c r="AF497" s="22" t="n"/>
      <c r="AG497" s="105" t="n"/>
      <c r="AH497" s="105" t="n"/>
      <c r="AI497" s="105" t="n"/>
      <c r="AJ497" s="105" t="n"/>
      <c r="AK497" s="21">
        <f>IF(Q497="ANULADA","N/A",IF(ABS(AJ497)&gt;10,"Pendiente",IF(MAX(AB497,AD497,AF497)=0,"Pendiente",MAX(0,MAX(AB497,AD497,AF497)-O497))))</f>
        <v/>
      </c>
    </row>
    <row r="498" hidden="1" ht="15" customHeight="1">
      <c r="A498" s="22" t="n"/>
      <c r="B498" s="22" t="n"/>
      <c r="C498" s="22" t="n"/>
      <c r="D498" s="13" t="n"/>
      <c r="E498" s="13" t="n"/>
      <c r="F498" s="13" t="n"/>
      <c r="G498" s="13" t="n"/>
      <c r="H498" s="23" t="n"/>
      <c r="I498" s="104" t="n"/>
      <c r="J498" s="105" t="n"/>
      <c r="K498" s="105" t="n"/>
      <c r="L498" s="13" t="n"/>
      <c r="M498" s="22" t="n"/>
      <c r="N498" s="24" t="n"/>
      <c r="O498" s="106" t="n"/>
      <c r="P498" s="22" t="n"/>
      <c r="Q498" s="39" t="n"/>
      <c r="R498" s="22" t="n"/>
      <c r="S498" s="105" t="n"/>
      <c r="T498" s="105" t="n"/>
      <c r="U498" s="105" t="n"/>
      <c r="V498" s="105" t="n"/>
      <c r="W498" s="105" t="n"/>
      <c r="X498" s="105" t="n"/>
      <c r="Y498" s="105" t="n"/>
      <c r="Z498" s="105" t="n"/>
      <c r="AA498" s="105" t="n"/>
      <c r="AB498" s="22" t="n"/>
      <c r="AC498" s="105" t="n"/>
      <c r="AD498" s="22" t="n"/>
      <c r="AE498" s="105" t="n"/>
      <c r="AF498" s="22" t="n"/>
      <c r="AG498" s="105" t="n"/>
      <c r="AH498" s="105" t="n"/>
      <c r="AI498" s="105" t="n"/>
      <c r="AJ498" s="105" t="n"/>
      <c r="AK498" s="21">
        <f>IF(Q498="ANULADA","N/A",IF(ABS(AJ498)&gt;10,"Pendiente",IF(MAX(AB498,AD498,AF498)=0,"Pendiente",MAX(0,MAX(AB498,AD498,AF498)-O498))))</f>
        <v/>
      </c>
    </row>
    <row r="499" hidden="1" ht="15" customHeight="1">
      <c r="A499" s="22" t="n"/>
      <c r="B499" s="22" t="n"/>
      <c r="C499" s="22" t="n"/>
      <c r="D499" s="13" t="n"/>
      <c r="E499" s="13" t="n"/>
      <c r="F499" s="13" t="n"/>
      <c r="G499" s="13" t="n"/>
      <c r="H499" s="23" t="n"/>
      <c r="I499" s="104" t="n"/>
      <c r="J499" s="105" t="n"/>
      <c r="K499" s="105" t="n"/>
      <c r="L499" s="13" t="n"/>
      <c r="M499" s="22" t="n"/>
      <c r="N499" s="24" t="n"/>
      <c r="O499" s="106" t="n"/>
      <c r="P499" s="22" t="n"/>
      <c r="Q499" s="39" t="n"/>
      <c r="R499" s="22" t="n"/>
      <c r="S499" s="105" t="n"/>
      <c r="T499" s="105" t="n"/>
      <c r="U499" s="105" t="n"/>
      <c r="V499" s="105" t="n"/>
      <c r="W499" s="105" t="n"/>
      <c r="X499" s="105" t="n"/>
      <c r="Y499" s="105" t="n"/>
      <c r="Z499" s="105" t="n"/>
      <c r="AA499" s="105" t="n"/>
      <c r="AB499" s="22" t="n"/>
      <c r="AC499" s="105" t="n"/>
      <c r="AD499" s="22" t="n"/>
      <c r="AE499" s="105" t="n"/>
      <c r="AF499" s="22" t="n"/>
      <c r="AG499" s="105" t="n"/>
      <c r="AH499" s="105" t="n"/>
      <c r="AI499" s="105" t="n"/>
      <c r="AJ499" s="105" t="n"/>
      <c r="AK499" s="21">
        <f>IF(Q499="ANULADA","N/A",IF(ABS(AJ499)&gt;10,"Pendiente",IF(MAX(AB499,AD499,AF499)=0,"Pendiente",MAX(0,MAX(AB499,AD499,AF499)-O499))))</f>
        <v/>
      </c>
    </row>
    <row r="500" hidden="1" ht="15" customHeight="1">
      <c r="A500" s="22" t="n"/>
      <c r="B500" s="22" t="n"/>
      <c r="C500" s="22" t="n"/>
      <c r="D500" s="13" t="n"/>
      <c r="E500" s="13" t="n"/>
      <c r="F500" s="13" t="n"/>
      <c r="G500" s="13" t="n"/>
      <c r="H500" s="23" t="n"/>
      <c r="I500" s="104" t="n"/>
      <c r="J500" s="105" t="n"/>
      <c r="K500" s="105" t="n"/>
      <c r="L500" s="13" t="n"/>
      <c r="M500" s="22" t="n"/>
      <c r="N500" s="24" t="n"/>
      <c r="O500" s="106" t="n"/>
      <c r="P500" s="22" t="n"/>
      <c r="Q500" s="22" t="n"/>
      <c r="R500" s="22" t="n"/>
      <c r="S500" s="105" t="n"/>
      <c r="T500" s="105" t="n"/>
      <c r="U500" s="105" t="n"/>
      <c r="V500" s="105" t="n"/>
      <c r="W500" s="105" t="n"/>
      <c r="X500" s="105" t="n"/>
      <c r="Y500" s="105" t="n"/>
      <c r="Z500" s="105" t="n"/>
      <c r="AA500" s="105" t="n"/>
      <c r="AB500" s="22" t="n"/>
      <c r="AC500" s="105" t="n"/>
      <c r="AD500" s="22" t="n"/>
      <c r="AE500" s="105" t="n"/>
      <c r="AF500" s="22" t="n"/>
      <c r="AG500" s="105" t="n"/>
      <c r="AH500" s="105" t="n"/>
      <c r="AI500" s="105" t="n"/>
      <c r="AJ500" s="105" t="n"/>
      <c r="AK500" s="21">
        <f>IF(Q500="ANULADA","N/A",IF(ABS(AJ500)&gt;10,"Pendiente",IF(MAX(AB500,AD500,AF500)=0,"Pendiente",MAX(0,MAX(AB500,AD500,AF500)-O500))))</f>
        <v/>
      </c>
    </row>
    <row r="501" hidden="1" ht="15" customHeight="1">
      <c r="A501" s="22" t="n"/>
      <c r="B501" s="22" t="n"/>
      <c r="C501" s="22" t="n"/>
      <c r="D501" s="13" t="n"/>
      <c r="E501" s="13" t="n"/>
      <c r="F501" s="13" t="n"/>
      <c r="G501" s="13" t="n"/>
      <c r="H501" s="23" t="n"/>
      <c r="I501" s="104" t="n"/>
      <c r="J501" s="105" t="n"/>
      <c r="K501" s="105" t="n"/>
      <c r="L501" s="13" t="n"/>
      <c r="M501" s="22" t="n"/>
      <c r="N501" s="24" t="n"/>
      <c r="O501" s="106" t="n"/>
      <c r="P501" s="22" t="n"/>
      <c r="Q501" s="22" t="n"/>
      <c r="R501" s="22" t="n"/>
      <c r="S501" s="105" t="n"/>
      <c r="T501" s="105" t="n"/>
      <c r="U501" s="105" t="n"/>
      <c r="V501" s="105" t="n"/>
      <c r="W501" s="105" t="n"/>
      <c r="X501" s="105" t="n"/>
      <c r="Y501" s="105" t="n"/>
      <c r="Z501" s="105" t="n"/>
      <c r="AA501" s="105" t="n"/>
      <c r="AB501" s="22" t="n"/>
      <c r="AC501" s="105" t="n"/>
      <c r="AD501" s="22" t="n"/>
      <c r="AE501" s="105" t="n"/>
      <c r="AF501" s="22" t="n"/>
      <c r="AG501" s="105" t="n"/>
      <c r="AH501" s="105" t="n"/>
      <c r="AI501" s="105" t="n"/>
      <c r="AJ501" s="105" t="n"/>
      <c r="AK501" s="21">
        <f>IF(Q501="ANULADA","N/A",IF(ABS(AJ501)&gt;10,"Pendiente",IF(MAX(AB501,AD501,AF501)=0,"Pendiente",MAX(0,MAX(AB501,AD501,AF501)-O501))))</f>
        <v/>
      </c>
    </row>
    <row r="502" hidden="1" ht="15" customHeight="1">
      <c r="A502" s="22" t="n"/>
      <c r="B502" s="22" t="n"/>
      <c r="C502" s="22" t="n"/>
      <c r="D502" s="13" t="n"/>
      <c r="E502" s="13" t="n"/>
      <c r="F502" s="13" t="n"/>
      <c r="G502" s="13" t="n"/>
      <c r="H502" s="23" t="n"/>
      <c r="I502" s="104" t="n"/>
      <c r="J502" s="105" t="n"/>
      <c r="K502" s="105" t="n"/>
      <c r="L502" s="13" t="n"/>
      <c r="M502" s="22" t="n"/>
      <c r="N502" s="24" t="n"/>
      <c r="O502" s="106" t="n"/>
      <c r="P502" s="22" t="n"/>
      <c r="Q502" s="22" t="n"/>
      <c r="R502" s="22" t="n"/>
      <c r="S502" s="105" t="n"/>
      <c r="T502" s="105" t="n"/>
      <c r="U502" s="105" t="n"/>
      <c r="V502" s="105" t="n"/>
      <c r="W502" s="105" t="n"/>
      <c r="X502" s="105" t="n"/>
      <c r="Y502" s="105" t="n"/>
      <c r="Z502" s="105" t="n"/>
      <c r="AA502" s="105" t="n"/>
      <c r="AB502" s="22" t="n"/>
      <c r="AC502" s="105" t="n"/>
      <c r="AD502" s="22" t="n"/>
      <c r="AE502" s="105" t="n"/>
      <c r="AF502" s="22" t="n"/>
      <c r="AG502" s="105" t="n"/>
      <c r="AH502" s="105" t="n"/>
      <c r="AI502" s="105" t="n"/>
      <c r="AJ502" s="105" t="n"/>
      <c r="AK502" s="21">
        <f>IF(Q502="ANULADA","N/A",IF(ABS(AJ502)&gt;10,"Pendiente",IF(MAX(AB502,AD502,AF502)=0,"Pendiente",MAX(0,MAX(AB502,AD502,AF502)-O502))))</f>
        <v/>
      </c>
    </row>
    <row r="503" hidden="1" ht="15" customHeight="1">
      <c r="A503" s="22" t="n"/>
      <c r="B503" s="22" t="n"/>
      <c r="C503" s="22" t="n"/>
      <c r="D503" s="13" t="n"/>
      <c r="E503" s="13" t="n"/>
      <c r="F503" s="13" t="n"/>
      <c r="G503" s="13" t="n"/>
      <c r="H503" s="23" t="n"/>
      <c r="I503" s="104" t="n"/>
      <c r="J503" s="105" t="n"/>
      <c r="K503" s="105" t="n"/>
      <c r="L503" s="13" t="n"/>
      <c r="M503" s="22" t="n"/>
      <c r="N503" s="24" t="n"/>
      <c r="O503" s="106" t="n"/>
      <c r="P503" s="22" t="n"/>
      <c r="Q503" s="39" t="n"/>
      <c r="R503" s="22" t="n"/>
      <c r="S503" s="105" t="n"/>
      <c r="T503" s="105" t="n"/>
      <c r="U503" s="105" t="n"/>
      <c r="V503" s="105" t="n"/>
      <c r="W503" s="105" t="n"/>
      <c r="X503" s="105" t="n"/>
      <c r="Y503" s="105" t="n"/>
      <c r="Z503" s="105" t="n"/>
      <c r="AA503" s="105" t="n"/>
      <c r="AB503" s="22" t="n"/>
      <c r="AC503" s="105" t="n"/>
      <c r="AD503" s="22" t="n"/>
      <c r="AE503" s="105" t="n"/>
      <c r="AF503" s="22" t="n"/>
      <c r="AG503" s="105" t="n"/>
      <c r="AH503" s="105" t="n"/>
      <c r="AI503" s="105" t="n"/>
      <c r="AJ503" s="105" t="n"/>
      <c r="AK503" s="21">
        <f>IF(Q503="ANULADA","N/A",IF(ABS(AJ503)&gt;10,"Pendiente",IF(MAX(AB503,AD503,AF503)=0,"Pendiente",MAX(0,MAX(AB503,AD503,AF503)-O503))))</f>
        <v/>
      </c>
    </row>
    <row r="504" hidden="1" ht="15" customHeight="1">
      <c r="A504" s="22" t="n"/>
      <c r="B504" s="22" t="n"/>
      <c r="C504" s="22" t="n"/>
      <c r="D504" s="13" t="n"/>
      <c r="E504" s="13" t="n"/>
      <c r="F504" s="13" t="n"/>
      <c r="G504" s="13" t="n"/>
      <c r="H504" s="23" t="n"/>
      <c r="I504" s="104" t="n"/>
      <c r="J504" s="105" t="n"/>
      <c r="K504" s="105" t="n"/>
      <c r="L504" s="13" t="n"/>
      <c r="M504" s="22" t="n"/>
      <c r="N504" s="24" t="n"/>
      <c r="O504" s="106" t="n"/>
      <c r="P504" s="22" t="n"/>
      <c r="Q504" s="22" t="n"/>
      <c r="R504" s="22" t="n"/>
      <c r="S504" s="105" t="n"/>
      <c r="T504" s="105" t="n"/>
      <c r="U504" s="105" t="n"/>
      <c r="V504" s="105" t="n"/>
      <c r="W504" s="105" t="n"/>
      <c r="X504" s="105" t="n"/>
      <c r="Y504" s="105" t="n"/>
      <c r="Z504" s="105" t="n"/>
      <c r="AA504" s="105" t="n"/>
      <c r="AB504" s="22" t="n"/>
      <c r="AC504" s="105" t="n"/>
      <c r="AD504" s="22" t="n"/>
      <c r="AE504" s="105" t="n"/>
      <c r="AF504" s="22" t="n"/>
      <c r="AG504" s="105" t="n"/>
      <c r="AH504" s="105" t="n"/>
      <c r="AI504" s="105" t="n"/>
      <c r="AJ504" s="105" t="n"/>
      <c r="AK504" s="21">
        <f>IF(Q504="ANULADA","N/A",IF(ABS(AJ504)&gt;10,"Pendiente",IF(MAX(AB504,AD504,AF504)=0,"Pendiente",MAX(0,MAX(AB504,AD504,AF504)-O504))))</f>
        <v/>
      </c>
    </row>
    <row r="505" hidden="1" ht="15" customHeight="1">
      <c r="A505" s="22" t="n"/>
      <c r="B505" s="22" t="n"/>
      <c r="C505" s="22" t="n"/>
      <c r="D505" s="13" t="n"/>
      <c r="E505" s="13" t="n"/>
      <c r="F505" s="13" t="n"/>
      <c r="G505" s="13" t="n"/>
      <c r="H505" s="23" t="n"/>
      <c r="I505" s="104" t="n"/>
      <c r="J505" s="105" t="n"/>
      <c r="K505" s="105" t="n"/>
      <c r="L505" s="13" t="n"/>
      <c r="M505" s="22" t="n"/>
      <c r="N505" s="24" t="n"/>
      <c r="O505" s="106" t="n"/>
      <c r="P505" s="22" t="n"/>
      <c r="Q505" s="39" t="n"/>
      <c r="R505" s="22" t="n"/>
      <c r="S505" s="105" t="n"/>
      <c r="T505" s="105" t="n"/>
      <c r="U505" s="105" t="n"/>
      <c r="V505" s="105" t="n"/>
      <c r="W505" s="105" t="n"/>
      <c r="X505" s="105" t="n"/>
      <c r="Y505" s="105" t="n"/>
      <c r="Z505" s="105" t="n"/>
      <c r="AA505" s="105" t="n"/>
      <c r="AB505" s="22" t="n"/>
      <c r="AC505" s="105" t="n"/>
      <c r="AD505" s="22" t="n"/>
      <c r="AE505" s="105" t="n"/>
      <c r="AF505" s="22" t="n"/>
      <c r="AG505" s="105" t="n"/>
      <c r="AH505" s="105" t="n"/>
      <c r="AI505" s="105" t="n"/>
      <c r="AJ505" s="105" t="n"/>
      <c r="AK505" s="21">
        <f>IF(Q505="ANULADA","N/A",IF(ABS(AJ505)&gt;10,"Pendiente",IF(MAX(AB505,AD505,AF505)=0,"Pendiente",MAX(0,MAX(AB505,AD505,AF505)-O505))))</f>
        <v/>
      </c>
    </row>
    <row r="506" hidden="1" ht="15" customHeight="1">
      <c r="A506" s="22" t="n"/>
      <c r="B506" s="22" t="n"/>
      <c r="C506" s="22" t="n"/>
      <c r="D506" s="13" t="n"/>
      <c r="E506" s="13" t="n"/>
      <c r="F506" s="13" t="n"/>
      <c r="G506" s="13" t="n"/>
      <c r="H506" s="23" t="n"/>
      <c r="I506" s="104" t="n"/>
      <c r="J506" s="105" t="n"/>
      <c r="K506" s="105" t="n"/>
      <c r="L506" s="13" t="n"/>
      <c r="M506" s="22" t="n"/>
      <c r="N506" s="24" t="n"/>
      <c r="O506" s="106" t="n"/>
      <c r="P506" s="22" t="n"/>
      <c r="Q506" s="39" t="n"/>
      <c r="R506" s="22" t="n"/>
      <c r="S506" s="105" t="n"/>
      <c r="T506" s="105" t="n"/>
      <c r="U506" s="105" t="n"/>
      <c r="V506" s="105" t="n"/>
      <c r="W506" s="105" t="n"/>
      <c r="X506" s="105" t="n"/>
      <c r="Y506" s="105" t="n"/>
      <c r="Z506" s="105" t="n"/>
      <c r="AA506" s="105" t="n"/>
      <c r="AB506" s="22" t="n"/>
      <c r="AC506" s="105" t="n"/>
      <c r="AD506" s="22" t="n"/>
      <c r="AE506" s="105" t="n"/>
      <c r="AF506" s="22" t="n"/>
      <c r="AG506" s="105" t="n"/>
      <c r="AH506" s="105" t="n"/>
      <c r="AI506" s="105" t="n"/>
      <c r="AJ506" s="105" t="n"/>
      <c r="AK506" s="21">
        <f>IF(Q506="ANULADA","N/A",IF(ABS(AJ506)&gt;10,"Pendiente",IF(MAX(AB506,AD506,AF506)=0,"Pendiente",MAX(0,MAX(AB506,AD506,AF506)-O506))))</f>
        <v/>
      </c>
    </row>
    <row r="507" hidden="1" ht="15" customHeight="1">
      <c r="A507" s="22" t="n"/>
      <c r="B507" s="22" t="n"/>
      <c r="C507" s="22" t="n"/>
      <c r="D507" s="13" t="n"/>
      <c r="E507" s="13" t="n"/>
      <c r="F507" s="13" t="n"/>
      <c r="G507" s="13" t="n"/>
      <c r="H507" s="23" t="n"/>
      <c r="I507" s="104" t="n"/>
      <c r="J507" s="105" t="n"/>
      <c r="K507" s="105" t="n"/>
      <c r="L507" s="13" t="n"/>
      <c r="M507" s="22" t="n"/>
      <c r="N507" s="24" t="n"/>
      <c r="O507" s="106" t="n"/>
      <c r="P507" s="22" t="n"/>
      <c r="Q507" s="22" t="n"/>
      <c r="R507" s="22" t="n"/>
      <c r="S507" s="105" t="n"/>
      <c r="T507" s="105" t="n"/>
      <c r="U507" s="105" t="n"/>
      <c r="V507" s="105" t="n"/>
      <c r="W507" s="105" t="n"/>
      <c r="X507" s="105" t="n"/>
      <c r="Y507" s="105" t="n"/>
      <c r="Z507" s="105" t="n"/>
      <c r="AA507" s="105" t="n"/>
      <c r="AB507" s="22" t="n"/>
      <c r="AC507" s="105" t="n"/>
      <c r="AD507" s="22" t="n"/>
      <c r="AE507" s="105" t="n"/>
      <c r="AF507" s="22" t="n"/>
      <c r="AG507" s="105" t="n"/>
      <c r="AH507" s="105" t="n"/>
      <c r="AI507" s="105" t="n"/>
      <c r="AJ507" s="105" t="n"/>
      <c r="AK507" s="21">
        <f>IF(Q507="ANULADA","N/A",IF(ABS(AJ507)&gt;10,"Pendiente",IF(MAX(AB507,AD507,AF507)=0,"Pendiente",MAX(0,MAX(AB507,AD507,AF507)-O507))))</f>
        <v/>
      </c>
    </row>
    <row r="508" hidden="1" ht="15" customHeight="1">
      <c r="A508" s="22" t="n"/>
      <c r="B508" s="22" t="n"/>
      <c r="C508" s="22" t="n"/>
      <c r="D508" s="13" t="n"/>
      <c r="E508" s="13" t="n"/>
      <c r="F508" s="13" t="n"/>
      <c r="G508" s="13" t="n"/>
      <c r="H508" s="23" t="n"/>
      <c r="I508" s="104" t="n"/>
      <c r="J508" s="105" t="n"/>
      <c r="K508" s="105" t="n"/>
      <c r="L508" s="13" t="n"/>
      <c r="M508" s="22" t="n"/>
      <c r="N508" s="24" t="n"/>
      <c r="O508" s="106" t="n"/>
      <c r="P508" s="22" t="n"/>
      <c r="Q508" s="22" t="n"/>
      <c r="R508" s="22" t="n"/>
      <c r="S508" s="105" t="n"/>
      <c r="T508" s="105" t="n"/>
      <c r="U508" s="105" t="n"/>
      <c r="V508" s="105" t="n"/>
      <c r="W508" s="105" t="n"/>
      <c r="X508" s="105" t="n"/>
      <c r="Y508" s="105" t="n"/>
      <c r="Z508" s="105" t="n"/>
      <c r="AA508" s="105" t="n"/>
      <c r="AB508" s="22" t="n"/>
      <c r="AC508" s="105" t="n"/>
      <c r="AD508" s="22" t="n"/>
      <c r="AE508" s="105" t="n"/>
      <c r="AF508" s="22" t="n"/>
      <c r="AG508" s="105" t="n"/>
      <c r="AH508" s="105" t="n"/>
      <c r="AI508" s="105" t="n"/>
      <c r="AJ508" s="105" t="n"/>
      <c r="AK508" s="21">
        <f>IF(Q508="ANULADA","N/A",IF(ABS(AJ508)&gt;10,"Pendiente",IF(MAX(AB508,AD508,AF508)=0,"Pendiente",MAX(0,MAX(AB508,AD508,AF508)-O508))))</f>
        <v/>
      </c>
    </row>
    <row r="509" hidden="1" ht="15" customHeight="1">
      <c r="A509" s="22" t="n"/>
      <c r="B509" s="22" t="n"/>
      <c r="C509" s="22" t="n"/>
      <c r="D509" s="13" t="n"/>
      <c r="E509" s="13" t="n"/>
      <c r="F509" s="13" t="n"/>
      <c r="G509" s="13" t="n"/>
      <c r="H509" s="23" t="n"/>
      <c r="I509" s="104" t="n"/>
      <c r="J509" s="105" t="n"/>
      <c r="K509" s="105" t="n"/>
      <c r="L509" s="13" t="n"/>
      <c r="M509" s="22" t="n"/>
      <c r="N509" s="24" t="n"/>
      <c r="O509" s="106" t="n"/>
      <c r="P509" s="22" t="n"/>
      <c r="Q509" s="22" t="n"/>
      <c r="R509" s="22" t="n"/>
      <c r="S509" s="105" t="n"/>
      <c r="T509" s="105" t="n"/>
      <c r="U509" s="105" t="n"/>
      <c r="V509" s="105" t="n"/>
      <c r="W509" s="105" t="n"/>
      <c r="X509" s="105" t="n"/>
      <c r="Y509" s="105" t="n"/>
      <c r="Z509" s="105" t="n"/>
      <c r="AA509" s="105" t="n"/>
      <c r="AB509" s="22" t="n"/>
      <c r="AC509" s="105" t="n"/>
      <c r="AD509" s="22" t="n"/>
      <c r="AE509" s="105" t="n"/>
      <c r="AF509" s="22" t="n"/>
      <c r="AG509" s="105" t="n"/>
      <c r="AH509" s="105" t="n"/>
      <c r="AI509" s="105" t="n"/>
      <c r="AJ509" s="105" t="n"/>
      <c r="AK509" s="21">
        <f>IF(Q509="ANULADA","N/A",IF(ABS(AJ509)&gt;10,"Pendiente",IF(MAX(AB509,AD509,AF509)=0,"Pendiente",MAX(0,MAX(AB509,AD509,AF509)-O509))))</f>
        <v/>
      </c>
    </row>
    <row r="510" hidden="1" ht="15" customHeight="1">
      <c r="A510" s="22" t="n"/>
      <c r="B510" s="22" t="n"/>
      <c r="C510" s="22" t="n"/>
      <c r="D510" s="13" t="n"/>
      <c r="E510" s="13" t="n"/>
      <c r="F510" s="13" t="n"/>
      <c r="G510" s="13" t="n"/>
      <c r="H510" s="23" t="n"/>
      <c r="I510" s="104" t="n"/>
      <c r="J510" s="105" t="n"/>
      <c r="K510" s="105" t="n"/>
      <c r="L510" s="13" t="n"/>
      <c r="M510" s="22" t="n"/>
      <c r="N510" s="24" t="n"/>
      <c r="O510" s="106" t="n"/>
      <c r="P510" s="22" t="n"/>
      <c r="Q510" s="39" t="n"/>
      <c r="R510" s="22" t="n"/>
      <c r="S510" s="105" t="n"/>
      <c r="T510" s="105" t="n"/>
      <c r="U510" s="105" t="n"/>
      <c r="V510" s="105" t="n"/>
      <c r="W510" s="105" t="n"/>
      <c r="X510" s="105" t="n"/>
      <c r="Y510" s="105" t="n"/>
      <c r="Z510" s="105" t="n"/>
      <c r="AA510" s="105" t="n"/>
      <c r="AB510" s="22" t="n"/>
      <c r="AC510" s="105" t="n"/>
      <c r="AD510" s="22" t="n"/>
      <c r="AE510" s="105" t="n"/>
      <c r="AF510" s="22" t="n"/>
      <c r="AG510" s="105" t="n"/>
      <c r="AH510" s="105" t="n"/>
      <c r="AI510" s="105" t="n"/>
      <c r="AJ510" s="105" t="n"/>
      <c r="AK510" s="21">
        <f>IF(Q510="ANULADA","N/A",IF(ABS(AJ510)&gt;10,"Pendiente",IF(MAX(AB510,AD510,AF510)=0,"Pendiente",MAX(0,MAX(AB510,AD510,AF510)-O510))))</f>
        <v/>
      </c>
    </row>
    <row r="511" hidden="1" ht="15" customHeight="1">
      <c r="A511" s="22" t="n"/>
      <c r="B511" s="22" t="n"/>
      <c r="C511" s="22" t="n"/>
      <c r="D511" s="13" t="n"/>
      <c r="E511" s="13" t="n"/>
      <c r="F511" s="13" t="n"/>
      <c r="G511" s="13" t="n"/>
      <c r="H511" s="23" t="n"/>
      <c r="I511" s="104" t="n"/>
      <c r="J511" s="105" t="n"/>
      <c r="K511" s="105" t="n"/>
      <c r="L511" s="13" t="n"/>
      <c r="M511" s="22" t="n"/>
      <c r="N511" s="24" t="n"/>
      <c r="O511" s="106" t="n"/>
      <c r="P511" s="22" t="n"/>
      <c r="Q511" s="22" t="n"/>
      <c r="R511" s="22" t="n"/>
      <c r="S511" s="105" t="n"/>
      <c r="T511" s="105" t="n"/>
      <c r="U511" s="105" t="n"/>
      <c r="V511" s="105" t="n"/>
      <c r="W511" s="105" t="n"/>
      <c r="X511" s="105" t="n"/>
      <c r="Y511" s="105" t="n"/>
      <c r="Z511" s="105" t="n"/>
      <c r="AA511" s="105" t="n"/>
      <c r="AB511" s="22" t="n"/>
      <c r="AC511" s="105" t="n"/>
      <c r="AD511" s="22" t="n"/>
      <c r="AE511" s="105" t="n"/>
      <c r="AF511" s="22" t="n"/>
      <c r="AG511" s="105" t="n"/>
      <c r="AH511" s="105" t="n"/>
      <c r="AI511" s="105" t="n"/>
      <c r="AJ511" s="105" t="n"/>
      <c r="AK511" s="21">
        <f>IF(Q511="ANULADA","N/A",IF(ABS(AJ511)&gt;10,"Pendiente",IF(MAX(AB511,AD511,AF511)=0,"Pendiente",MAX(0,MAX(AB511,AD511,AF511)-O511))))</f>
        <v/>
      </c>
    </row>
    <row r="512" hidden="1" ht="15" customHeight="1">
      <c r="A512" s="22" t="n"/>
      <c r="B512" s="22" t="n"/>
      <c r="C512" s="22" t="n"/>
      <c r="D512" s="13" t="n"/>
      <c r="E512" s="13" t="n"/>
      <c r="F512" s="13" t="n"/>
      <c r="G512" s="13" t="n"/>
      <c r="H512" s="23" t="n"/>
      <c r="I512" s="104" t="n"/>
      <c r="J512" s="105" t="n"/>
      <c r="K512" s="105" t="n"/>
      <c r="L512" s="13" t="n"/>
      <c r="M512" s="22" t="n"/>
      <c r="N512" s="24" t="n"/>
      <c r="O512" s="106" t="n"/>
      <c r="P512" s="22" t="n"/>
      <c r="Q512" s="39" t="n"/>
      <c r="R512" s="22" t="n"/>
      <c r="S512" s="105" t="n"/>
      <c r="T512" s="105" t="n"/>
      <c r="U512" s="105" t="n"/>
      <c r="V512" s="105" t="n"/>
      <c r="W512" s="105" t="n"/>
      <c r="X512" s="105" t="n"/>
      <c r="Y512" s="105" t="n"/>
      <c r="Z512" s="105" t="n"/>
      <c r="AA512" s="105" t="n"/>
      <c r="AB512" s="22" t="n"/>
      <c r="AC512" s="105" t="n"/>
      <c r="AD512" s="22" t="n"/>
      <c r="AE512" s="105" t="n"/>
      <c r="AF512" s="22" t="n"/>
      <c r="AG512" s="105" t="n"/>
      <c r="AH512" s="105" t="n"/>
      <c r="AI512" s="105" t="n"/>
      <c r="AJ512" s="105" t="n"/>
      <c r="AK512" s="21">
        <f>IF(Q512="ANULADA","N/A",IF(ABS(AJ512)&gt;10,"Pendiente",IF(MAX(AB512,AD512,AF512)=0,"Pendiente",MAX(0,MAX(AB512,AD512,AF512)-O512))))</f>
        <v/>
      </c>
    </row>
    <row r="513" hidden="1" ht="15" customHeight="1">
      <c r="A513" s="22" t="n"/>
      <c r="B513" s="22" t="n"/>
      <c r="C513" s="22" t="n"/>
      <c r="D513" s="13" t="n"/>
      <c r="E513" s="13" t="n"/>
      <c r="F513" s="13" t="n"/>
      <c r="G513" s="13" t="n"/>
      <c r="H513" s="23" t="n"/>
      <c r="I513" s="104" t="n"/>
      <c r="J513" s="105" t="n"/>
      <c r="K513" s="105" t="n"/>
      <c r="L513" s="13" t="n"/>
      <c r="M513" s="22" t="n"/>
      <c r="N513" s="24" t="n"/>
      <c r="O513" s="106" t="n"/>
      <c r="P513" s="22" t="n"/>
      <c r="Q513" s="39" t="n"/>
      <c r="R513" s="22" t="n"/>
      <c r="S513" s="105" t="n"/>
      <c r="T513" s="105" t="n"/>
      <c r="U513" s="105" t="n"/>
      <c r="V513" s="105" t="n"/>
      <c r="W513" s="105" t="n"/>
      <c r="X513" s="105" t="n"/>
      <c r="Y513" s="105" t="n"/>
      <c r="Z513" s="105" t="n"/>
      <c r="AA513" s="105" t="n"/>
      <c r="AB513" s="22" t="n"/>
      <c r="AC513" s="105" t="n"/>
      <c r="AD513" s="22" t="n"/>
      <c r="AE513" s="105" t="n"/>
      <c r="AF513" s="22" t="n"/>
      <c r="AG513" s="105" t="n"/>
      <c r="AH513" s="105" t="n"/>
      <c r="AI513" s="105" t="n"/>
      <c r="AJ513" s="105" t="n"/>
      <c r="AK513" s="21">
        <f>IF(Q513="ANULADA","N/A",IF(ABS(AJ513)&gt;10,"Pendiente",IF(MAX(AB513,AD513,AF513)=0,"Pendiente",MAX(0,MAX(AB513,AD513,AF513)-O513))))</f>
        <v/>
      </c>
    </row>
    <row r="514" hidden="1" ht="15" customHeight="1">
      <c r="A514" s="22" t="n"/>
      <c r="B514" s="22" t="n"/>
      <c r="C514" s="22" t="n"/>
      <c r="D514" s="13" t="n"/>
      <c r="E514" s="13" t="n"/>
      <c r="F514" s="13" t="n"/>
      <c r="G514" s="13" t="n"/>
      <c r="H514" s="23" t="n"/>
      <c r="I514" s="104" t="n"/>
      <c r="J514" s="105" t="n"/>
      <c r="K514" s="105" t="n"/>
      <c r="L514" s="13" t="n"/>
      <c r="M514" s="22" t="n"/>
      <c r="N514" s="24" t="n"/>
      <c r="O514" s="106" t="n"/>
      <c r="P514" s="22" t="n"/>
      <c r="Q514" s="22" t="n"/>
      <c r="R514" s="22" t="n"/>
      <c r="S514" s="105" t="n"/>
      <c r="T514" s="105" t="n"/>
      <c r="U514" s="105" t="n"/>
      <c r="V514" s="105" t="n"/>
      <c r="W514" s="105" t="n"/>
      <c r="X514" s="105" t="n"/>
      <c r="Y514" s="105" t="n"/>
      <c r="Z514" s="105" t="n"/>
      <c r="AA514" s="105" t="n"/>
      <c r="AB514" s="22" t="n"/>
      <c r="AC514" s="105" t="n"/>
      <c r="AD514" s="22" t="n"/>
      <c r="AE514" s="105" t="n"/>
      <c r="AF514" s="22" t="n"/>
      <c r="AG514" s="105" t="n"/>
      <c r="AH514" s="105" t="n"/>
      <c r="AI514" s="105" t="n"/>
      <c r="AJ514" s="105" t="n"/>
      <c r="AK514" s="21">
        <f>IF(Q514="ANULADA","N/A",IF(ABS(AJ514)&gt;10,"Pendiente",IF(MAX(AB514,AD514,AF514)=0,"Pendiente",MAX(0,MAX(AB514,AD514,AF514)-O514))))</f>
        <v/>
      </c>
    </row>
    <row r="515" hidden="1" ht="15" customHeight="1">
      <c r="A515" s="22" t="n"/>
      <c r="B515" s="22" t="n"/>
      <c r="C515" s="22" t="n"/>
      <c r="D515" s="13" t="n"/>
      <c r="E515" s="13" t="n"/>
      <c r="F515" s="13" t="n"/>
      <c r="G515" s="13" t="n"/>
      <c r="H515" s="23" t="n"/>
      <c r="I515" s="104" t="n"/>
      <c r="J515" s="105" t="n"/>
      <c r="K515" s="105" t="n"/>
      <c r="L515" s="13" t="n"/>
      <c r="M515" s="22" t="n"/>
      <c r="N515" s="24" t="n"/>
      <c r="O515" s="106" t="n"/>
      <c r="P515" s="22" t="n"/>
      <c r="Q515" s="22" t="n"/>
      <c r="R515" s="22" t="n"/>
      <c r="S515" s="105" t="n"/>
      <c r="T515" s="105" t="n"/>
      <c r="U515" s="105" t="n"/>
      <c r="V515" s="105" t="n"/>
      <c r="W515" s="105" t="n"/>
      <c r="X515" s="105" t="n"/>
      <c r="Y515" s="105" t="n"/>
      <c r="Z515" s="105" t="n"/>
      <c r="AA515" s="105" t="n"/>
      <c r="AB515" s="22" t="n"/>
      <c r="AC515" s="105" t="n"/>
      <c r="AD515" s="22" t="n"/>
      <c r="AE515" s="105" t="n"/>
      <c r="AF515" s="22" t="n"/>
      <c r="AG515" s="105" t="n"/>
      <c r="AH515" s="105" t="n"/>
      <c r="AI515" s="105" t="n"/>
      <c r="AJ515" s="105" t="n"/>
      <c r="AK515" s="21">
        <f>IF(Q515="ANULADA","N/A",IF(ABS(AJ515)&gt;10,"Pendiente",IF(MAX(AB515,AD515,AF515)=0,"Pendiente",MAX(0,MAX(AB515,AD515,AF515)-O515))))</f>
        <v/>
      </c>
    </row>
    <row r="516" hidden="1" ht="15" customHeight="1">
      <c r="A516" s="22" t="n"/>
      <c r="B516" s="22" t="n"/>
      <c r="C516" s="22" t="n"/>
      <c r="D516" s="13" t="n"/>
      <c r="E516" s="13" t="n"/>
      <c r="F516" s="13" t="n"/>
      <c r="G516" s="13" t="n"/>
      <c r="H516" s="23" t="n"/>
      <c r="I516" s="104" t="n"/>
      <c r="J516" s="105" t="n"/>
      <c r="K516" s="105" t="n"/>
      <c r="L516" s="13" t="n"/>
      <c r="M516" s="22" t="n"/>
      <c r="N516" s="24" t="n"/>
      <c r="O516" s="106" t="n"/>
      <c r="P516" s="22" t="n"/>
      <c r="Q516" s="22" t="n"/>
      <c r="R516" s="22" t="n"/>
      <c r="S516" s="105" t="n"/>
      <c r="T516" s="105" t="n"/>
      <c r="U516" s="105" t="n"/>
      <c r="V516" s="105" t="n"/>
      <c r="W516" s="105" t="n"/>
      <c r="X516" s="105" t="n"/>
      <c r="Y516" s="105" t="n"/>
      <c r="Z516" s="105" t="n"/>
      <c r="AA516" s="105" t="n"/>
      <c r="AB516" s="22" t="n"/>
      <c r="AC516" s="105" t="n"/>
      <c r="AD516" s="22" t="n"/>
      <c r="AE516" s="105" t="n"/>
      <c r="AF516" s="22" t="n"/>
      <c r="AG516" s="105" t="n"/>
      <c r="AH516" s="105" t="n"/>
      <c r="AI516" s="105" t="n"/>
      <c r="AJ516" s="105" t="n"/>
      <c r="AK516" s="21">
        <f>IF(Q516="ANULADA","N/A",IF(ABS(AJ516)&gt;10,"Pendiente",IF(MAX(AB516,AD516,AF516)=0,"Pendiente",MAX(0,MAX(AB516,AD516,AF516)-O516))))</f>
        <v/>
      </c>
    </row>
    <row r="517" hidden="1" ht="15" customHeight="1">
      <c r="A517" s="22" t="n"/>
      <c r="B517" s="22" t="n"/>
      <c r="C517" s="22" t="n"/>
      <c r="D517" s="13" t="n"/>
      <c r="E517" s="13" t="n"/>
      <c r="F517" s="13" t="n"/>
      <c r="G517" s="13" t="n"/>
      <c r="H517" s="23" t="n"/>
      <c r="I517" s="104" t="n"/>
      <c r="J517" s="105" t="n"/>
      <c r="K517" s="105" t="n"/>
      <c r="L517" s="13" t="n"/>
      <c r="M517" s="22" t="n"/>
      <c r="N517" s="24" t="n"/>
      <c r="O517" s="106" t="n"/>
      <c r="P517" s="22" t="n"/>
      <c r="Q517" s="39" t="n"/>
      <c r="R517" s="22" t="n"/>
      <c r="S517" s="105" t="n"/>
      <c r="T517" s="105" t="n"/>
      <c r="U517" s="105" t="n"/>
      <c r="V517" s="105" t="n"/>
      <c r="W517" s="105" t="n"/>
      <c r="X517" s="105" t="n"/>
      <c r="Y517" s="105" t="n"/>
      <c r="Z517" s="105" t="n"/>
      <c r="AA517" s="105" t="n"/>
      <c r="AB517" s="22" t="n"/>
      <c r="AC517" s="105" t="n"/>
      <c r="AD517" s="22" t="n"/>
      <c r="AE517" s="105" t="n"/>
      <c r="AF517" s="22" t="n"/>
      <c r="AG517" s="105" t="n"/>
      <c r="AH517" s="105" t="n"/>
      <c r="AI517" s="105" t="n"/>
      <c r="AJ517" s="105" t="n"/>
      <c r="AK517" s="21">
        <f>IF(Q517="ANULADA","N/A",IF(ABS(AJ517)&gt;10,"Pendiente",IF(MAX(AB517,AD517,AF517)=0,"Pendiente",MAX(0,MAX(AB517,AD517,AF517)-O517))))</f>
        <v/>
      </c>
    </row>
    <row r="518" hidden="1" ht="15" customHeight="1">
      <c r="A518" s="22" t="n"/>
      <c r="B518" s="22" t="n"/>
      <c r="C518" s="22" t="n"/>
      <c r="D518" s="13" t="n"/>
      <c r="E518" s="13" t="n"/>
      <c r="F518" s="13" t="n"/>
      <c r="G518" s="13" t="n"/>
      <c r="H518" s="23" t="n"/>
      <c r="I518" s="104" t="n"/>
      <c r="J518" s="105" t="n"/>
      <c r="K518" s="105" t="n"/>
      <c r="L518" s="13" t="n"/>
      <c r="M518" s="22" t="n"/>
      <c r="N518" s="24" t="n"/>
      <c r="O518" s="106" t="n"/>
      <c r="P518" s="22" t="n"/>
      <c r="Q518" s="22" t="n"/>
      <c r="R518" s="22" t="n"/>
      <c r="S518" s="105" t="n"/>
      <c r="T518" s="105" t="n"/>
      <c r="U518" s="105" t="n"/>
      <c r="V518" s="105" t="n"/>
      <c r="W518" s="105" t="n"/>
      <c r="X518" s="105" t="n"/>
      <c r="Y518" s="105" t="n"/>
      <c r="Z518" s="105" t="n"/>
      <c r="AA518" s="105" t="n"/>
      <c r="AB518" s="22" t="n"/>
      <c r="AC518" s="105" t="n"/>
      <c r="AD518" s="22" t="n"/>
      <c r="AE518" s="105" t="n"/>
      <c r="AF518" s="22" t="n"/>
      <c r="AG518" s="105" t="n"/>
      <c r="AH518" s="105" t="n"/>
      <c r="AI518" s="105" t="n"/>
      <c r="AJ518" s="105" t="n"/>
      <c r="AK518" s="21">
        <f>IF(Q518="ANULADA","N/A",IF(ABS(AJ518)&gt;10,"Pendiente",IF(MAX(AB518,AD518,AF518)=0,"Pendiente",MAX(0,MAX(AB518,AD518,AF518)-O518))))</f>
        <v/>
      </c>
    </row>
    <row r="519" hidden="1" ht="15" customHeight="1">
      <c r="A519" s="22" t="n"/>
      <c r="B519" s="22" t="n"/>
      <c r="C519" s="22" t="n"/>
      <c r="D519" s="13" t="n"/>
      <c r="E519" s="13" t="n"/>
      <c r="F519" s="13" t="n"/>
      <c r="G519" s="13" t="n"/>
      <c r="H519" s="23" t="n"/>
      <c r="I519" s="104" t="n"/>
      <c r="J519" s="105" t="n"/>
      <c r="K519" s="105" t="n"/>
      <c r="L519" s="13" t="n"/>
      <c r="M519" s="22" t="n"/>
      <c r="N519" s="24" t="n"/>
      <c r="O519" s="106" t="n"/>
      <c r="P519" s="22" t="n"/>
      <c r="Q519" s="39" t="n"/>
      <c r="R519" s="22" t="n"/>
      <c r="S519" s="105" t="n"/>
      <c r="T519" s="105" t="n"/>
      <c r="U519" s="105" t="n"/>
      <c r="V519" s="105" t="n"/>
      <c r="W519" s="105" t="n"/>
      <c r="X519" s="105" t="n"/>
      <c r="Y519" s="105" t="n"/>
      <c r="Z519" s="105" t="n"/>
      <c r="AA519" s="105" t="n"/>
      <c r="AB519" s="22" t="n"/>
      <c r="AC519" s="105" t="n"/>
      <c r="AD519" s="22" t="n"/>
      <c r="AE519" s="105" t="n"/>
      <c r="AF519" s="22" t="n"/>
      <c r="AG519" s="105" t="n"/>
      <c r="AH519" s="105" t="n"/>
      <c r="AI519" s="105" t="n"/>
      <c r="AJ519" s="105" t="n"/>
      <c r="AK519" s="21">
        <f>IF(Q519="ANULADA","N/A",IF(ABS(AJ519)&gt;10,"Pendiente",IF(MAX(AB519,AD519,AF519)=0,"Pendiente",MAX(0,MAX(AB519,AD519,AF519)-O519))))</f>
        <v/>
      </c>
    </row>
    <row r="520" hidden="1" ht="15" customHeight="1">
      <c r="A520" s="22" t="n"/>
      <c r="B520" s="22" t="n"/>
      <c r="C520" s="22" t="n"/>
      <c r="D520" s="13" t="n"/>
      <c r="E520" s="13" t="n"/>
      <c r="F520" s="13" t="n"/>
      <c r="G520" s="13" t="n"/>
      <c r="H520" s="23" t="n"/>
      <c r="I520" s="104" t="n"/>
      <c r="J520" s="105" t="n"/>
      <c r="K520" s="105" t="n"/>
      <c r="L520" s="13" t="n"/>
      <c r="M520" s="22" t="n"/>
      <c r="N520" s="24" t="n"/>
      <c r="O520" s="106" t="n"/>
      <c r="P520" s="22" t="n"/>
      <c r="Q520" s="39" t="n"/>
      <c r="R520" s="22" t="n"/>
      <c r="S520" s="105" t="n"/>
      <c r="T520" s="105" t="n"/>
      <c r="U520" s="105" t="n"/>
      <c r="V520" s="105" t="n"/>
      <c r="W520" s="105" t="n"/>
      <c r="X520" s="105" t="n"/>
      <c r="Y520" s="105" t="n"/>
      <c r="Z520" s="105" t="n"/>
      <c r="AA520" s="105" t="n"/>
      <c r="AB520" s="22" t="n"/>
      <c r="AC520" s="105" t="n"/>
      <c r="AD520" s="22" t="n"/>
      <c r="AE520" s="105" t="n"/>
      <c r="AF520" s="22" t="n"/>
      <c r="AG520" s="105" t="n"/>
      <c r="AH520" s="105" t="n"/>
      <c r="AI520" s="105" t="n"/>
      <c r="AJ520" s="105" t="n"/>
      <c r="AK520" s="21">
        <f>IF(Q520="ANULADA","N/A",IF(ABS(AJ520)&gt;10,"Pendiente",IF(MAX(AB520,AD520,AF520)=0,"Pendiente",MAX(0,MAX(AB520,AD520,AF520)-O520))))</f>
        <v/>
      </c>
    </row>
    <row r="521" hidden="1" ht="15" customHeight="1">
      <c r="A521" s="22" t="n"/>
      <c r="B521" s="22" t="n"/>
      <c r="C521" s="22" t="n"/>
      <c r="D521" s="13" t="n"/>
      <c r="E521" s="13" t="n"/>
      <c r="F521" s="13" t="n"/>
      <c r="G521" s="13" t="n"/>
      <c r="H521" s="23" t="n"/>
      <c r="I521" s="104" t="n"/>
      <c r="J521" s="105" t="n"/>
      <c r="K521" s="105" t="n"/>
      <c r="L521" s="13" t="n"/>
      <c r="M521" s="22" t="n"/>
      <c r="N521" s="24" t="n"/>
      <c r="O521" s="106" t="n"/>
      <c r="P521" s="22" t="n"/>
      <c r="Q521" s="22" t="n"/>
      <c r="R521" s="22" t="n"/>
      <c r="S521" s="105" t="n"/>
      <c r="T521" s="105" t="n"/>
      <c r="U521" s="105" t="n"/>
      <c r="V521" s="105" t="n"/>
      <c r="W521" s="105" t="n"/>
      <c r="X521" s="105" t="n"/>
      <c r="Y521" s="105" t="n"/>
      <c r="Z521" s="105" t="n"/>
      <c r="AA521" s="105" t="n"/>
      <c r="AB521" s="22" t="n"/>
      <c r="AC521" s="105" t="n"/>
      <c r="AD521" s="22" t="n"/>
      <c r="AE521" s="105" t="n"/>
      <c r="AF521" s="22" t="n"/>
      <c r="AG521" s="105" t="n"/>
      <c r="AH521" s="105" t="n"/>
      <c r="AI521" s="105" t="n"/>
      <c r="AJ521" s="105" t="n"/>
      <c r="AK521" s="21">
        <f>IF(Q521="ANULADA","N/A",IF(ABS(AJ521)&gt;10,"Pendiente",IF(MAX(AB521,AD521,AF521)=0,"Pendiente",MAX(0,MAX(AB521,AD521,AF521)-O521))))</f>
        <v/>
      </c>
    </row>
    <row r="522" hidden="1" ht="15" customHeight="1">
      <c r="A522" s="22" t="n"/>
      <c r="B522" s="22" t="n"/>
      <c r="C522" s="22" t="n"/>
      <c r="D522" s="13" t="n"/>
      <c r="E522" s="13" t="n"/>
      <c r="F522" s="13" t="n"/>
      <c r="G522" s="13" t="n"/>
      <c r="H522" s="23" t="n"/>
      <c r="I522" s="104" t="n"/>
      <c r="J522" s="105" t="n"/>
      <c r="K522" s="105" t="n"/>
      <c r="L522" s="13" t="n"/>
      <c r="M522" s="22" t="n"/>
      <c r="N522" s="24" t="n"/>
      <c r="O522" s="106" t="n"/>
      <c r="P522" s="22" t="n"/>
      <c r="Q522" s="22" t="n"/>
      <c r="R522" s="22" t="n"/>
      <c r="S522" s="105" t="n"/>
      <c r="T522" s="105" t="n"/>
      <c r="U522" s="105" t="n"/>
      <c r="V522" s="105" t="n"/>
      <c r="W522" s="105" t="n"/>
      <c r="X522" s="105" t="n"/>
      <c r="Y522" s="105" t="n"/>
      <c r="Z522" s="105" t="n"/>
      <c r="AA522" s="105" t="n"/>
      <c r="AB522" s="22" t="n"/>
      <c r="AC522" s="105" t="n"/>
      <c r="AD522" s="22" t="n"/>
      <c r="AE522" s="105" t="n"/>
      <c r="AF522" s="22" t="n"/>
      <c r="AG522" s="105" t="n"/>
      <c r="AH522" s="105" t="n"/>
      <c r="AI522" s="105" t="n"/>
      <c r="AJ522" s="105" t="n"/>
      <c r="AK522" s="21">
        <f>IF(Q522="ANULADA","N/A",IF(ABS(AJ522)&gt;10,"Pendiente",IF(MAX(AB522,AD522,AF522)=0,"Pendiente",MAX(0,MAX(AB522,AD522,AF522)-O522))))</f>
        <v/>
      </c>
    </row>
    <row r="523" hidden="1" ht="15" customHeight="1">
      <c r="A523" s="22" t="n"/>
      <c r="B523" s="22" t="n"/>
      <c r="C523" s="22" t="n"/>
      <c r="D523" s="13" t="n"/>
      <c r="E523" s="13" t="n"/>
      <c r="F523" s="13" t="n"/>
      <c r="G523" s="13" t="n"/>
      <c r="H523" s="23" t="n"/>
      <c r="I523" s="104" t="n"/>
      <c r="J523" s="105" t="n"/>
      <c r="K523" s="105" t="n"/>
      <c r="L523" s="13" t="n"/>
      <c r="M523" s="22" t="n"/>
      <c r="N523" s="24" t="n"/>
      <c r="O523" s="106" t="n"/>
      <c r="P523" s="22" t="n"/>
      <c r="Q523" s="22" t="n"/>
      <c r="R523" s="22" t="n"/>
      <c r="S523" s="105" t="n"/>
      <c r="T523" s="105" t="n"/>
      <c r="U523" s="105" t="n"/>
      <c r="V523" s="105" t="n"/>
      <c r="W523" s="105" t="n"/>
      <c r="X523" s="105" t="n"/>
      <c r="Y523" s="105" t="n"/>
      <c r="Z523" s="105" t="n"/>
      <c r="AA523" s="105" t="n"/>
      <c r="AB523" s="22" t="n"/>
      <c r="AC523" s="105" t="n"/>
      <c r="AD523" s="22" t="n"/>
      <c r="AE523" s="105" t="n"/>
      <c r="AF523" s="22" t="n"/>
      <c r="AG523" s="105" t="n"/>
      <c r="AH523" s="105" t="n"/>
      <c r="AI523" s="105" t="n"/>
      <c r="AJ523" s="105" t="n"/>
      <c r="AK523" s="21">
        <f>IF(Q523="ANULADA","N/A",IF(ABS(AJ523)&gt;10,"Pendiente",IF(MAX(AB523,AD523,AF523)=0,"Pendiente",MAX(0,MAX(AB523,AD523,AF523)-O523))))</f>
        <v/>
      </c>
    </row>
    <row r="524" hidden="1" ht="15" customHeight="1">
      <c r="A524" s="22" t="n"/>
      <c r="B524" s="22" t="n"/>
      <c r="C524" s="22" t="n"/>
      <c r="D524" s="13" t="n"/>
      <c r="E524" s="13" t="n"/>
      <c r="F524" s="13" t="n"/>
      <c r="G524" s="13" t="n"/>
      <c r="H524" s="23" t="n"/>
      <c r="I524" s="104" t="n"/>
      <c r="J524" s="105" t="n"/>
      <c r="K524" s="105" t="n"/>
      <c r="L524" s="13" t="n"/>
      <c r="M524" s="22" t="n"/>
      <c r="N524" s="24" t="n"/>
      <c r="O524" s="106" t="n"/>
      <c r="P524" s="22" t="n"/>
      <c r="Q524" s="39" t="n"/>
      <c r="R524" s="22" t="n"/>
      <c r="S524" s="105" t="n"/>
      <c r="T524" s="105" t="n"/>
      <c r="U524" s="105" t="n"/>
      <c r="V524" s="105" t="n"/>
      <c r="W524" s="105" t="n"/>
      <c r="X524" s="105" t="n"/>
      <c r="Y524" s="105" t="n"/>
      <c r="Z524" s="105" t="n"/>
      <c r="AA524" s="105" t="n"/>
      <c r="AB524" s="22" t="n"/>
      <c r="AC524" s="105" t="n"/>
      <c r="AD524" s="22" t="n"/>
      <c r="AE524" s="105" t="n"/>
      <c r="AF524" s="22" t="n"/>
      <c r="AG524" s="105" t="n"/>
      <c r="AH524" s="105" t="n"/>
      <c r="AI524" s="105" t="n"/>
      <c r="AJ524" s="105" t="n"/>
      <c r="AK524" s="21">
        <f>IF(Q524="ANULADA","N/A",IF(ABS(AJ524)&gt;10,"Pendiente",IF(MAX(AB524,AD524,AF524)=0,"Pendiente",MAX(0,MAX(AB524,AD524,AF524)-O524))))</f>
        <v/>
      </c>
    </row>
    <row r="525" hidden="1" ht="15" customHeight="1">
      <c r="A525" s="22" t="n"/>
      <c r="B525" s="22" t="n"/>
      <c r="C525" s="22" t="n"/>
      <c r="D525" s="13" t="n"/>
      <c r="E525" s="13" t="n"/>
      <c r="F525" s="13" t="n"/>
      <c r="G525" s="13" t="n"/>
      <c r="H525" s="23" t="n"/>
      <c r="I525" s="104" t="n"/>
      <c r="J525" s="105" t="n"/>
      <c r="K525" s="105" t="n"/>
      <c r="L525" s="13" t="n"/>
      <c r="M525" s="22" t="n"/>
      <c r="N525" s="24" t="n"/>
      <c r="O525" s="106" t="n"/>
      <c r="P525" s="22" t="n"/>
      <c r="Q525" s="22" t="n"/>
      <c r="R525" s="22" t="n"/>
      <c r="S525" s="105" t="n"/>
      <c r="T525" s="105" t="n"/>
      <c r="U525" s="105" t="n"/>
      <c r="V525" s="105" t="n"/>
      <c r="W525" s="105" t="n"/>
      <c r="X525" s="105" t="n"/>
      <c r="Y525" s="105" t="n"/>
      <c r="Z525" s="105" t="n"/>
      <c r="AA525" s="105" t="n"/>
      <c r="AB525" s="22" t="n"/>
      <c r="AC525" s="105" t="n"/>
      <c r="AD525" s="22" t="n"/>
      <c r="AE525" s="105" t="n"/>
      <c r="AF525" s="22" t="n"/>
      <c r="AG525" s="105" t="n"/>
      <c r="AH525" s="105" t="n"/>
      <c r="AI525" s="105" t="n"/>
      <c r="AJ525" s="105" t="n"/>
      <c r="AK525" s="21">
        <f>IF(Q525="ANULADA","N/A",IF(ABS(AJ525)&gt;10,"Pendiente",IF(MAX(AB525,AD525,AF525)=0,"Pendiente",MAX(0,MAX(AB525,AD525,AF525)-O525))))</f>
        <v/>
      </c>
    </row>
    <row r="526" hidden="1" ht="15" customHeight="1">
      <c r="A526" s="22" t="n"/>
      <c r="B526" s="22" t="n"/>
      <c r="C526" s="22" t="n"/>
      <c r="D526" s="13" t="n"/>
      <c r="E526" s="13" t="n"/>
      <c r="F526" s="13" t="n"/>
      <c r="G526" s="13" t="n"/>
      <c r="H526" s="23" t="n"/>
      <c r="I526" s="104" t="n"/>
      <c r="J526" s="105" t="n"/>
      <c r="K526" s="105" t="n"/>
      <c r="L526" s="13" t="n"/>
      <c r="M526" s="22" t="n"/>
      <c r="N526" s="24" t="n"/>
      <c r="O526" s="106" t="n"/>
      <c r="P526" s="22" t="n"/>
      <c r="Q526" s="39" t="n"/>
      <c r="R526" s="22" t="n"/>
      <c r="S526" s="105" t="n"/>
      <c r="T526" s="105" t="n"/>
      <c r="U526" s="105" t="n"/>
      <c r="V526" s="105" t="n"/>
      <c r="W526" s="105" t="n"/>
      <c r="X526" s="105" t="n"/>
      <c r="Y526" s="105" t="n"/>
      <c r="Z526" s="105" t="n"/>
      <c r="AA526" s="105" t="n"/>
      <c r="AB526" s="22" t="n"/>
      <c r="AC526" s="105" t="n"/>
      <c r="AD526" s="22" t="n"/>
      <c r="AE526" s="105" t="n"/>
      <c r="AF526" s="22" t="n"/>
      <c r="AG526" s="105" t="n"/>
      <c r="AH526" s="105" t="n"/>
      <c r="AI526" s="105" t="n"/>
      <c r="AJ526" s="105" t="n"/>
      <c r="AK526" s="21">
        <f>IF(Q526="ANULADA","N/A",IF(ABS(AJ526)&gt;10,"Pendiente",IF(MAX(AB526,AD526,AF526)=0,"Pendiente",MAX(0,MAX(AB526,AD526,AF526)-O526))))</f>
        <v/>
      </c>
    </row>
    <row r="527" hidden="1" ht="15" customHeight="1">
      <c r="A527" s="22" t="n"/>
      <c r="B527" s="22" t="n"/>
      <c r="C527" s="22" t="n"/>
      <c r="D527" s="13" t="n"/>
      <c r="E527" s="13" t="n"/>
      <c r="F527" s="13" t="n"/>
      <c r="G527" s="13" t="n"/>
      <c r="H527" s="23" t="n"/>
      <c r="I527" s="104" t="n"/>
      <c r="J527" s="105" t="n"/>
      <c r="K527" s="105" t="n"/>
      <c r="L527" s="13" t="n"/>
      <c r="M527" s="22" t="n"/>
      <c r="N527" s="24" t="n"/>
      <c r="O527" s="106" t="n"/>
      <c r="P527" s="22" t="n"/>
      <c r="Q527" s="39" t="n"/>
      <c r="R527" s="22" t="n"/>
      <c r="S527" s="105" t="n"/>
      <c r="T527" s="105" t="n"/>
      <c r="U527" s="105" t="n"/>
      <c r="V527" s="105" t="n"/>
      <c r="W527" s="105" t="n"/>
      <c r="X527" s="105" t="n"/>
      <c r="Y527" s="105" t="n"/>
      <c r="Z527" s="105" t="n"/>
      <c r="AA527" s="105" t="n"/>
      <c r="AB527" s="22" t="n"/>
      <c r="AC527" s="105" t="n"/>
      <c r="AD527" s="22" t="n"/>
      <c r="AE527" s="105" t="n"/>
      <c r="AF527" s="22" t="n"/>
      <c r="AG527" s="105" t="n"/>
      <c r="AH527" s="105" t="n"/>
      <c r="AI527" s="105" t="n"/>
      <c r="AJ527" s="105" t="n"/>
      <c r="AK527" s="21">
        <f>IF(Q527="ANULADA","N/A",IF(ABS(AJ527)&gt;10,"Pendiente",IF(MAX(AB527,AD527,AF527)=0,"Pendiente",MAX(0,MAX(AB527,AD527,AF527)-O527))))</f>
        <v/>
      </c>
    </row>
    <row r="528" hidden="1" ht="15" customHeight="1">
      <c r="A528" s="22" t="n"/>
      <c r="B528" s="22" t="n"/>
      <c r="C528" s="22" t="n"/>
      <c r="D528" s="13" t="n"/>
      <c r="E528" s="13" t="n"/>
      <c r="F528" s="13" t="n"/>
      <c r="G528" s="13" t="n"/>
      <c r="H528" s="23" t="n"/>
      <c r="I528" s="104" t="n"/>
      <c r="J528" s="105" t="n"/>
      <c r="K528" s="105" t="n"/>
      <c r="L528" s="13" t="n"/>
      <c r="M528" s="22" t="n"/>
      <c r="N528" s="24" t="n"/>
      <c r="O528" s="106" t="n"/>
      <c r="P528" s="22" t="n"/>
      <c r="Q528" s="22" t="n"/>
      <c r="R528" s="22" t="n"/>
      <c r="S528" s="105" t="n"/>
      <c r="T528" s="105" t="n"/>
      <c r="U528" s="105" t="n"/>
      <c r="V528" s="105" t="n"/>
      <c r="W528" s="105" t="n"/>
      <c r="X528" s="105" t="n"/>
      <c r="Y528" s="105" t="n"/>
      <c r="Z528" s="105" t="n"/>
      <c r="AA528" s="105" t="n"/>
      <c r="AB528" s="22" t="n"/>
      <c r="AC528" s="105" t="n"/>
      <c r="AD528" s="22" t="n"/>
      <c r="AE528" s="105" t="n"/>
      <c r="AF528" s="22" t="n"/>
      <c r="AG528" s="105" t="n"/>
      <c r="AH528" s="105" t="n"/>
      <c r="AI528" s="105" t="n"/>
      <c r="AJ528" s="105" t="n"/>
      <c r="AK528" s="21">
        <f>IF(Q528="ANULADA","N/A",IF(ABS(AJ528)&gt;10,"Pendiente",IF(MAX(AB528,AD528,AF528)=0,"Pendiente",MAX(0,MAX(AB528,AD528,AF528)-O528))))</f>
        <v/>
      </c>
    </row>
    <row r="529" hidden="1" ht="15" customHeight="1">
      <c r="A529" s="22" t="n"/>
      <c r="B529" s="22" t="n"/>
      <c r="C529" s="22" t="n"/>
      <c r="D529" s="13" t="n"/>
      <c r="E529" s="13" t="n"/>
      <c r="F529" s="13" t="n"/>
      <c r="G529" s="13" t="n"/>
      <c r="H529" s="23" t="n"/>
      <c r="I529" s="104" t="n"/>
      <c r="J529" s="105" t="n"/>
      <c r="K529" s="105" t="n"/>
      <c r="L529" s="13" t="n"/>
      <c r="M529" s="22" t="n"/>
      <c r="N529" s="24" t="n"/>
      <c r="O529" s="106" t="n"/>
      <c r="P529" s="22" t="n"/>
      <c r="Q529" s="22" t="n"/>
      <c r="R529" s="22" t="n"/>
      <c r="S529" s="105" t="n"/>
      <c r="T529" s="105" t="n"/>
      <c r="U529" s="105" t="n"/>
      <c r="V529" s="105" t="n"/>
      <c r="W529" s="105" t="n"/>
      <c r="X529" s="105" t="n"/>
      <c r="Y529" s="105" t="n"/>
      <c r="Z529" s="105" t="n"/>
      <c r="AA529" s="105" t="n"/>
      <c r="AB529" s="22" t="n"/>
      <c r="AC529" s="105" t="n"/>
      <c r="AD529" s="22" t="n"/>
      <c r="AE529" s="105" t="n"/>
      <c r="AF529" s="22" t="n"/>
      <c r="AG529" s="105" t="n"/>
      <c r="AH529" s="105" t="n"/>
      <c r="AI529" s="105" t="n"/>
      <c r="AJ529" s="105" t="n"/>
      <c r="AK529" s="21">
        <f>IF(Q529="ANULADA","N/A",IF(ABS(AJ529)&gt;10,"Pendiente",IF(MAX(AB529,AD529,AF529)=0,"Pendiente",MAX(0,MAX(AB529,AD529,AF529)-O529))))</f>
        <v/>
      </c>
    </row>
    <row r="530" hidden="1" ht="15" customHeight="1">
      <c r="A530" s="22" t="n"/>
      <c r="B530" s="22" t="n"/>
      <c r="C530" s="22" t="n"/>
      <c r="D530" s="13" t="n"/>
      <c r="E530" s="13" t="n"/>
      <c r="F530" s="13" t="n"/>
      <c r="G530" s="13" t="n"/>
      <c r="H530" s="23" t="n"/>
      <c r="I530" s="104" t="n"/>
      <c r="J530" s="105" t="n"/>
      <c r="K530" s="105" t="n"/>
      <c r="L530" s="13" t="n"/>
      <c r="M530" s="22" t="n"/>
      <c r="N530" s="24" t="n"/>
      <c r="O530" s="106" t="n"/>
      <c r="P530" s="22" t="n"/>
      <c r="Q530" s="22" t="n"/>
      <c r="R530" s="22" t="n"/>
      <c r="S530" s="105" t="n"/>
      <c r="T530" s="105" t="n"/>
      <c r="U530" s="105" t="n"/>
      <c r="V530" s="105" t="n"/>
      <c r="W530" s="105" t="n"/>
      <c r="X530" s="105" t="n"/>
      <c r="Y530" s="105" t="n"/>
      <c r="Z530" s="105" t="n"/>
      <c r="AA530" s="105" t="n"/>
      <c r="AB530" s="22" t="n"/>
      <c r="AC530" s="105" t="n"/>
      <c r="AD530" s="22" t="n"/>
      <c r="AE530" s="105" t="n"/>
      <c r="AF530" s="22" t="n"/>
      <c r="AG530" s="105" t="n"/>
      <c r="AH530" s="105" t="n"/>
      <c r="AI530" s="105" t="n"/>
      <c r="AJ530" s="105" t="n"/>
      <c r="AK530" s="21">
        <f>IF(Q530="ANULADA","N/A",IF(ABS(AJ530)&gt;10,"Pendiente",IF(MAX(AB530,AD530,AF530)=0,"Pendiente",MAX(0,MAX(AB530,AD530,AF530)-O530))))</f>
        <v/>
      </c>
    </row>
    <row r="531" hidden="1" ht="15" customHeight="1">
      <c r="A531" s="22" t="n"/>
      <c r="B531" s="22" t="n"/>
      <c r="C531" s="22" t="n"/>
      <c r="D531" s="13" t="n"/>
      <c r="E531" s="13" t="n"/>
      <c r="F531" s="13" t="n"/>
      <c r="G531" s="13" t="n"/>
      <c r="H531" s="23" t="n"/>
      <c r="I531" s="104" t="n"/>
      <c r="J531" s="105" t="n"/>
      <c r="K531" s="105" t="n"/>
      <c r="L531" s="13" t="n"/>
      <c r="M531" s="22" t="n"/>
      <c r="N531" s="24" t="n"/>
      <c r="O531" s="106" t="n"/>
      <c r="P531" s="22" t="n"/>
      <c r="Q531" s="39" t="n"/>
      <c r="R531" s="22" t="n"/>
      <c r="S531" s="105" t="n"/>
      <c r="T531" s="105" t="n"/>
      <c r="U531" s="105" t="n"/>
      <c r="V531" s="105" t="n"/>
      <c r="W531" s="105" t="n"/>
      <c r="X531" s="105" t="n"/>
      <c r="Y531" s="105" t="n"/>
      <c r="Z531" s="105" t="n"/>
      <c r="AA531" s="105" t="n"/>
      <c r="AB531" s="22" t="n"/>
      <c r="AC531" s="105" t="n"/>
      <c r="AD531" s="22" t="n"/>
      <c r="AE531" s="105" t="n"/>
      <c r="AF531" s="22" t="n"/>
      <c r="AG531" s="105" t="n"/>
      <c r="AH531" s="105" t="n"/>
      <c r="AI531" s="105" t="n"/>
      <c r="AJ531" s="105" t="n"/>
      <c r="AK531" s="21">
        <f>IF(Q531="ANULADA","N/A",IF(ABS(AJ531)&gt;10,"Pendiente",IF(MAX(AB531,AD531,AF531)=0,"Pendiente",MAX(0,MAX(AB531,AD531,AF531)-O531))))</f>
        <v/>
      </c>
    </row>
    <row r="532" hidden="1" ht="15" customHeight="1">
      <c r="A532" s="22" t="n"/>
      <c r="B532" s="22" t="n"/>
      <c r="C532" s="22" t="n"/>
      <c r="D532" s="13" t="n"/>
      <c r="E532" s="13" t="n"/>
      <c r="F532" s="13" t="n"/>
      <c r="G532" s="13" t="n"/>
      <c r="H532" s="23" t="n"/>
      <c r="I532" s="104" t="n"/>
      <c r="J532" s="105" t="n"/>
      <c r="K532" s="105" t="n"/>
      <c r="L532" s="13" t="n"/>
      <c r="M532" s="22" t="n"/>
      <c r="N532" s="24" t="n"/>
      <c r="O532" s="106" t="n"/>
      <c r="P532" s="22" t="n"/>
      <c r="Q532" s="22" t="n"/>
      <c r="R532" s="22" t="n"/>
      <c r="S532" s="105" t="n"/>
      <c r="T532" s="105" t="n"/>
      <c r="U532" s="105" t="n"/>
      <c r="V532" s="105" t="n"/>
      <c r="W532" s="105" t="n"/>
      <c r="X532" s="105" t="n"/>
      <c r="Y532" s="105" t="n"/>
      <c r="Z532" s="105" t="n"/>
      <c r="AA532" s="105" t="n"/>
      <c r="AB532" s="22" t="n"/>
      <c r="AC532" s="105" t="n"/>
      <c r="AD532" s="22" t="n"/>
      <c r="AE532" s="105" t="n"/>
      <c r="AF532" s="22" t="n"/>
      <c r="AG532" s="105" t="n"/>
      <c r="AH532" s="105" t="n"/>
      <c r="AI532" s="105" t="n"/>
      <c r="AJ532" s="105" t="n"/>
      <c r="AK532" s="21">
        <f>IF(Q532="ANULADA","N/A",IF(ABS(AJ532)&gt;10,"Pendiente",IF(MAX(AB532,AD532,AF532)=0,"Pendiente",MAX(0,MAX(AB532,AD532,AF532)-O532))))</f>
        <v/>
      </c>
    </row>
    <row r="533" hidden="1" ht="15" customHeight="1">
      <c r="A533" s="22" t="n"/>
      <c r="B533" s="22" t="n"/>
      <c r="C533" s="22" t="n"/>
      <c r="D533" s="13" t="n"/>
      <c r="E533" s="13" t="n"/>
      <c r="F533" s="13" t="n"/>
      <c r="G533" s="13" t="n"/>
      <c r="H533" s="23" t="n"/>
      <c r="I533" s="104" t="n"/>
      <c r="J533" s="105" t="n"/>
      <c r="K533" s="105" t="n"/>
      <c r="L533" s="13" t="n"/>
      <c r="M533" s="22" t="n"/>
      <c r="N533" s="24" t="n"/>
      <c r="O533" s="106" t="n"/>
      <c r="P533" s="22" t="n"/>
      <c r="Q533" s="39" t="n"/>
      <c r="R533" s="22" t="n"/>
      <c r="S533" s="105" t="n"/>
      <c r="T533" s="105" t="n"/>
      <c r="U533" s="105" t="n"/>
      <c r="V533" s="105" t="n"/>
      <c r="W533" s="105" t="n"/>
      <c r="X533" s="105" t="n"/>
      <c r="Y533" s="105" t="n"/>
      <c r="Z533" s="105" t="n"/>
      <c r="AA533" s="105" t="n"/>
      <c r="AB533" s="22" t="n"/>
      <c r="AC533" s="105" t="n"/>
      <c r="AD533" s="22" t="n"/>
      <c r="AE533" s="105" t="n"/>
      <c r="AF533" s="22" t="n"/>
      <c r="AG533" s="105" t="n"/>
      <c r="AH533" s="105" t="n"/>
      <c r="AI533" s="105" t="n"/>
      <c r="AJ533" s="105" t="n"/>
      <c r="AK533" s="21">
        <f>IF(Q533="ANULADA","N/A",IF(ABS(AJ533)&gt;10,"Pendiente",IF(MAX(AB533,AD533,AF533)=0,"Pendiente",MAX(0,MAX(AB533,AD533,AF533)-O533))))</f>
        <v/>
      </c>
    </row>
    <row r="534" hidden="1" ht="14.25" customHeight="1">
      <c r="A534" s="22" t="n"/>
      <c r="B534" s="22" t="n"/>
      <c r="C534" s="22" t="n"/>
      <c r="D534" s="13" t="n"/>
      <c r="E534" s="13" t="n"/>
      <c r="F534" s="13" t="n"/>
      <c r="G534" s="13" t="n"/>
      <c r="H534" s="23" t="n"/>
      <c r="I534" s="104" t="n"/>
      <c r="J534" s="105" t="n"/>
      <c r="K534" s="105" t="n"/>
      <c r="L534" s="13" t="n"/>
      <c r="M534" s="22" t="n"/>
      <c r="N534" s="24" t="n"/>
      <c r="O534" s="106" t="n"/>
      <c r="P534" s="22" t="n"/>
      <c r="Q534" s="39" t="n"/>
      <c r="R534" s="22" t="n"/>
      <c r="S534" s="105" t="n"/>
      <c r="T534" s="105" t="n"/>
      <c r="U534" s="105" t="n"/>
      <c r="V534" s="105" t="n"/>
      <c r="W534" s="105" t="n"/>
      <c r="X534" s="105" t="n"/>
      <c r="Y534" s="105" t="n"/>
      <c r="Z534" s="105" t="n"/>
      <c r="AA534" s="105" t="n"/>
      <c r="AB534" s="22" t="n"/>
      <c r="AC534" s="105" t="n"/>
      <c r="AD534" s="22" t="n"/>
      <c r="AE534" s="105" t="n"/>
      <c r="AF534" s="22" t="n"/>
      <c r="AG534" s="105" t="n"/>
      <c r="AH534" s="105" t="n"/>
      <c r="AI534" s="105" t="n"/>
      <c r="AJ534" s="105" t="n"/>
      <c r="AK534" s="21">
        <f>IF(Q534="ANULADA","N/A",IF(ABS(AJ534)&gt;10,"Pendiente",IF(MAX(AB534,AD534,AF534)=0,"Pendiente",MAX(0,MAX(AB534,AD534,AF534)-O534))))</f>
        <v/>
      </c>
    </row>
    <row r="535" hidden="1" ht="14.25" customHeight="1">
      <c r="A535" s="22" t="n"/>
      <c r="B535" s="22" t="n"/>
      <c r="C535" s="22" t="n"/>
      <c r="D535" s="13" t="n"/>
      <c r="E535" s="13" t="n"/>
      <c r="F535" s="13" t="n"/>
      <c r="G535" s="13" t="n"/>
      <c r="H535" s="23" t="n"/>
      <c r="I535" s="104" t="n"/>
      <c r="J535" s="105" t="n"/>
      <c r="K535" s="105" t="n"/>
      <c r="L535" s="13" t="n"/>
      <c r="M535" s="22" t="n"/>
      <c r="N535" s="24" t="n"/>
      <c r="O535" s="106" t="n"/>
      <c r="P535" s="22" t="n"/>
      <c r="Q535" s="22" t="n"/>
      <c r="R535" s="22" t="n"/>
      <c r="S535" s="105" t="n"/>
      <c r="T535" s="105" t="n"/>
      <c r="U535" s="105" t="n"/>
      <c r="V535" s="105" t="n"/>
      <c r="W535" s="105" t="n"/>
      <c r="X535" s="105" t="n"/>
      <c r="Y535" s="105" t="n"/>
      <c r="Z535" s="105" t="n"/>
      <c r="AA535" s="105" t="n"/>
      <c r="AB535" s="22" t="n"/>
      <c r="AC535" s="105" t="n"/>
      <c r="AD535" s="22" t="n"/>
      <c r="AE535" s="105" t="n"/>
      <c r="AF535" s="22" t="n"/>
      <c r="AG535" s="105" t="n"/>
      <c r="AH535" s="105" t="n"/>
      <c r="AI535" s="105" t="n"/>
      <c r="AJ535" s="105" t="n"/>
      <c r="AK535" s="21">
        <f>IF(Q535="ANULADA","N/A",IF(ABS(AJ535)&gt;10,"Pendiente",IF(MAX(AB535,AD535,AF535)=0,"Pendiente",MAX(0,MAX(AB535,AD535,AF535)-O535))))</f>
        <v/>
      </c>
    </row>
    <row r="536" hidden="1" ht="15" customHeight="1">
      <c r="A536" s="22" t="n"/>
      <c r="B536" s="22" t="n"/>
      <c r="C536" s="22" t="n"/>
      <c r="D536" s="13" t="n"/>
      <c r="E536" s="13" t="n"/>
      <c r="F536" s="13" t="n"/>
      <c r="G536" s="13" t="n"/>
      <c r="H536" s="23" t="n"/>
      <c r="I536" s="104" t="n"/>
      <c r="J536" s="105" t="n"/>
      <c r="K536" s="105" t="n"/>
      <c r="L536" s="13" t="n"/>
      <c r="M536" s="22" t="n"/>
      <c r="N536" s="24" t="n"/>
      <c r="O536" s="106" t="n"/>
      <c r="P536" s="22" t="n"/>
      <c r="Q536" s="22" t="n"/>
      <c r="R536" s="22" t="n"/>
      <c r="S536" s="105" t="n"/>
      <c r="T536" s="105" t="n"/>
      <c r="U536" s="105" t="n"/>
      <c r="V536" s="105" t="n"/>
      <c r="W536" s="105" t="n"/>
      <c r="X536" s="105" t="n"/>
      <c r="Y536" s="105" t="n"/>
      <c r="Z536" s="105" t="n"/>
      <c r="AA536" s="105" t="n"/>
      <c r="AB536" s="22" t="n"/>
      <c r="AC536" s="105" t="n"/>
      <c r="AD536" s="22" t="n"/>
      <c r="AE536" s="105" t="n"/>
      <c r="AF536" s="22" t="n"/>
      <c r="AG536" s="105" t="n"/>
      <c r="AH536" s="105" t="n"/>
      <c r="AI536" s="105" t="n"/>
      <c r="AJ536" s="105" t="n"/>
      <c r="AK536" s="21">
        <f>IF(Q536="ANULADA","N/A",IF(ABS(AJ536)&gt;10,"Pendiente",IF(MAX(AB536,AD536,AF536)=0,"Pendiente",MAX(0,MAX(AB536,AD536,AF536)-O536))))</f>
        <v/>
      </c>
    </row>
    <row r="537" hidden="1" ht="15" customHeight="1">
      <c r="A537" s="22" t="n"/>
      <c r="B537" s="22" t="n"/>
      <c r="C537" s="22" t="n"/>
      <c r="D537" s="13" t="n"/>
      <c r="E537" s="13" t="n"/>
      <c r="F537" s="13" t="n"/>
      <c r="G537" s="13" t="n"/>
      <c r="H537" s="23" t="n"/>
      <c r="I537" s="104" t="n"/>
      <c r="J537" s="105" t="n"/>
      <c r="K537" s="105" t="n"/>
      <c r="L537" s="13" t="n"/>
      <c r="M537" s="22" t="n"/>
      <c r="N537" s="24" t="n"/>
      <c r="O537" s="106" t="n"/>
      <c r="P537" s="22" t="n"/>
      <c r="Q537" s="22" t="n"/>
      <c r="R537" s="22" t="n"/>
      <c r="S537" s="105" t="n"/>
      <c r="T537" s="105" t="n"/>
      <c r="U537" s="105" t="n"/>
      <c r="V537" s="105" t="n"/>
      <c r="W537" s="105" t="n"/>
      <c r="X537" s="105" t="n"/>
      <c r="Y537" s="105" t="n"/>
      <c r="Z537" s="105" t="n"/>
      <c r="AA537" s="105" t="n"/>
      <c r="AB537" s="22" t="n"/>
      <c r="AC537" s="105" t="n"/>
      <c r="AD537" s="22" t="n"/>
      <c r="AE537" s="105" t="n"/>
      <c r="AF537" s="22" t="n"/>
      <c r="AG537" s="105" t="n"/>
      <c r="AH537" s="105" t="n"/>
      <c r="AI537" s="105" t="n"/>
      <c r="AJ537" s="105" t="n"/>
      <c r="AK537" s="21">
        <f>IF(Q537="ANULADA","N/A",IF(ABS(AJ537)&gt;10,"Pendiente",IF(MAX(AB537,AD537,AF537)=0,"Pendiente",MAX(0,MAX(AB537,AD537,AF537)-O537))))</f>
        <v/>
      </c>
    </row>
    <row r="538" hidden="1" ht="15" customHeight="1">
      <c r="A538" s="22" t="n"/>
      <c r="B538" s="22" t="n"/>
      <c r="C538" s="22" t="n"/>
      <c r="D538" s="13" t="n"/>
      <c r="E538" s="13" t="n"/>
      <c r="F538" s="13" t="n"/>
      <c r="G538" s="13" t="n"/>
      <c r="H538" s="23" t="n"/>
      <c r="I538" s="104" t="n"/>
      <c r="J538" s="105" t="n"/>
      <c r="K538" s="105" t="n"/>
      <c r="L538" s="13" t="n"/>
      <c r="M538" s="22" t="n"/>
      <c r="N538" s="24" t="n"/>
      <c r="O538" s="106" t="n"/>
      <c r="P538" s="22" t="n"/>
      <c r="Q538" s="39" t="n"/>
      <c r="R538" s="22" t="n"/>
      <c r="S538" s="105" t="n"/>
      <c r="T538" s="105" t="n"/>
      <c r="U538" s="105" t="n"/>
      <c r="V538" s="105" t="n"/>
      <c r="W538" s="105" t="n"/>
      <c r="X538" s="105" t="n"/>
      <c r="Y538" s="105" t="n"/>
      <c r="Z538" s="105" t="n"/>
      <c r="AA538" s="105" t="n"/>
      <c r="AB538" s="22" t="n"/>
      <c r="AC538" s="105" t="n"/>
      <c r="AD538" s="22" t="n"/>
      <c r="AE538" s="105" t="n"/>
      <c r="AF538" s="22" t="n"/>
      <c r="AG538" s="105" t="n"/>
      <c r="AH538" s="105" t="n"/>
      <c r="AI538" s="105" t="n"/>
      <c r="AJ538" s="105" t="n"/>
      <c r="AK538" s="21">
        <f>IF(Q538="ANULADA","N/A",IF(ABS(AJ538)&gt;10,"Pendiente",IF(MAX(AB538,AD538,AF538)=0,"Pendiente",MAX(0,MAX(AB538,AD538,AF538)-O538))))</f>
        <v/>
      </c>
    </row>
    <row r="539" hidden="1" ht="15" customHeight="1">
      <c r="A539" s="22" t="n"/>
      <c r="B539" s="22" t="n"/>
      <c r="C539" s="22" t="n"/>
      <c r="D539" s="13" t="n"/>
      <c r="E539" s="13" t="n"/>
      <c r="F539" s="13" t="n"/>
      <c r="G539" s="13" t="n"/>
      <c r="H539" s="23" t="n"/>
      <c r="I539" s="104" t="n"/>
      <c r="J539" s="105" t="n"/>
      <c r="K539" s="105" t="n"/>
      <c r="L539" s="13" t="n"/>
      <c r="M539" s="22" t="n"/>
      <c r="N539" s="24" t="n"/>
      <c r="O539" s="106" t="n"/>
      <c r="P539" s="22" t="n"/>
      <c r="Q539" s="22" t="n"/>
      <c r="R539" s="22" t="n"/>
      <c r="S539" s="105" t="n"/>
      <c r="T539" s="105" t="n"/>
      <c r="U539" s="105" t="n"/>
      <c r="V539" s="105" t="n"/>
      <c r="W539" s="105" t="n"/>
      <c r="X539" s="105" t="n"/>
      <c r="Y539" s="105" t="n"/>
      <c r="Z539" s="105" t="n"/>
      <c r="AA539" s="105" t="n"/>
      <c r="AB539" s="22" t="n"/>
      <c r="AC539" s="105" t="n"/>
      <c r="AD539" s="22" t="n"/>
      <c r="AE539" s="105" t="n"/>
      <c r="AF539" s="22" t="n"/>
      <c r="AG539" s="105" t="n"/>
      <c r="AH539" s="105" t="n"/>
      <c r="AI539" s="105" t="n"/>
      <c r="AJ539" s="105" t="n"/>
      <c r="AK539" s="21">
        <f>IF(Q539="ANULADA","N/A",IF(ABS(AJ539)&gt;10,"Pendiente",IF(MAX(AB539,AD539,AF539)=0,"Pendiente",MAX(0,MAX(AB539,AD539,AF539)-O539))))</f>
        <v/>
      </c>
    </row>
    <row r="540" hidden="1" ht="15" customHeight="1">
      <c r="A540" s="22" t="n"/>
      <c r="B540" s="22" t="n"/>
      <c r="C540" s="22" t="n"/>
      <c r="D540" s="13" t="n"/>
      <c r="E540" s="13" t="n"/>
      <c r="F540" s="13" t="n"/>
      <c r="G540" s="13" t="n"/>
      <c r="H540" s="23" t="n"/>
      <c r="I540" s="104" t="n"/>
      <c r="J540" s="105" t="n"/>
      <c r="K540" s="105" t="n"/>
      <c r="L540" s="13" t="n"/>
      <c r="M540" s="22" t="n"/>
      <c r="N540" s="24" t="n"/>
      <c r="O540" s="106" t="n"/>
      <c r="P540" s="22" t="n"/>
      <c r="Q540" s="39" t="n"/>
      <c r="R540" s="22" t="n"/>
      <c r="S540" s="105" t="n"/>
      <c r="T540" s="105" t="n"/>
      <c r="U540" s="105" t="n"/>
      <c r="V540" s="105" t="n"/>
      <c r="W540" s="105" t="n"/>
      <c r="X540" s="105" t="n"/>
      <c r="Y540" s="105" t="n"/>
      <c r="Z540" s="105" t="n"/>
      <c r="AA540" s="105" t="n"/>
      <c r="AB540" s="22" t="n"/>
      <c r="AC540" s="105" t="n"/>
      <c r="AD540" s="22" t="n"/>
      <c r="AE540" s="105" t="n"/>
      <c r="AF540" s="22" t="n"/>
      <c r="AG540" s="105" t="n"/>
      <c r="AH540" s="105" t="n"/>
      <c r="AI540" s="105" t="n"/>
      <c r="AJ540" s="105" t="n"/>
      <c r="AK540" s="21">
        <f>IF(Q540="ANULADA","N/A",IF(ABS(AJ540)&gt;10,"Pendiente",IF(MAX(AB540,AD540,AF540)=0,"Pendiente",MAX(0,MAX(AB540,AD540,AF540)-O540))))</f>
        <v/>
      </c>
    </row>
    <row r="541" hidden="1" ht="15" customHeight="1">
      <c r="A541" s="22" t="n"/>
      <c r="B541" s="22" t="n"/>
      <c r="C541" s="22" t="n"/>
      <c r="D541" s="13" t="n"/>
      <c r="E541" s="13" t="n"/>
      <c r="F541" s="13" t="n"/>
      <c r="G541" s="13" t="n"/>
      <c r="H541" s="23" t="n"/>
      <c r="I541" s="104" t="n"/>
      <c r="J541" s="105" t="n"/>
      <c r="K541" s="105" t="n"/>
      <c r="L541" s="13" t="n"/>
      <c r="M541" s="22" t="n"/>
      <c r="N541" s="24" t="n"/>
      <c r="O541" s="106" t="n"/>
      <c r="P541" s="22" t="n"/>
      <c r="Q541" s="39" t="n"/>
      <c r="R541" s="22" t="n"/>
      <c r="S541" s="105" t="n"/>
      <c r="T541" s="105" t="n"/>
      <c r="U541" s="105" t="n"/>
      <c r="V541" s="105" t="n"/>
      <c r="W541" s="105" t="n"/>
      <c r="X541" s="105" t="n"/>
      <c r="Y541" s="105" t="n"/>
      <c r="Z541" s="105" t="n"/>
      <c r="AA541" s="105" t="n"/>
      <c r="AB541" s="22" t="n"/>
      <c r="AC541" s="105" t="n"/>
      <c r="AD541" s="22" t="n"/>
      <c r="AE541" s="105" t="n"/>
      <c r="AF541" s="22" t="n"/>
      <c r="AG541" s="105" t="n"/>
      <c r="AH541" s="105" t="n"/>
      <c r="AI541" s="105" t="n"/>
      <c r="AJ541" s="105" t="n"/>
      <c r="AK541" s="21">
        <f>IF(Q541="ANULADA","N/A",IF(ABS(AJ541)&gt;10,"Pendiente",IF(MAX(AB541,AD541,AF541)=0,"Pendiente",MAX(0,MAX(AB541,AD541,AF541)-O541))))</f>
        <v/>
      </c>
    </row>
    <row r="542" hidden="1" ht="15" customHeight="1">
      <c r="A542" s="22" t="n"/>
      <c r="B542" s="22" t="n"/>
      <c r="C542" s="22" t="n"/>
      <c r="D542" s="13" t="n"/>
      <c r="E542" s="13" t="n"/>
      <c r="F542" s="13" t="n"/>
      <c r="G542" s="13" t="n"/>
      <c r="H542" s="23" t="n"/>
      <c r="I542" s="104" t="n"/>
      <c r="J542" s="105" t="n"/>
      <c r="K542" s="105" t="n"/>
      <c r="L542" s="13" t="n"/>
      <c r="M542" s="22" t="n"/>
      <c r="N542" s="24" t="n"/>
      <c r="O542" s="106" t="n"/>
      <c r="P542" s="22" t="n"/>
      <c r="Q542" s="22" t="n"/>
      <c r="R542" s="22" t="n"/>
      <c r="S542" s="105" t="n"/>
      <c r="T542" s="105" t="n"/>
      <c r="U542" s="105" t="n"/>
      <c r="V542" s="105" t="n"/>
      <c r="W542" s="105" t="n"/>
      <c r="X542" s="105" t="n"/>
      <c r="Y542" s="105" t="n"/>
      <c r="Z542" s="105" t="n"/>
      <c r="AA542" s="105" t="n"/>
      <c r="AB542" s="22" t="n"/>
      <c r="AC542" s="105" t="n"/>
      <c r="AD542" s="22" t="n"/>
      <c r="AE542" s="105" t="n"/>
      <c r="AF542" s="22" t="n"/>
      <c r="AG542" s="105" t="n"/>
      <c r="AH542" s="105" t="n"/>
      <c r="AI542" s="105" t="n"/>
      <c r="AJ542" s="105" t="n"/>
      <c r="AK542" s="21">
        <f>IF(Q542="ANULADA","N/A",IF(ABS(AJ542)&gt;10,"Pendiente",IF(MAX(AB542,AD542,AF542)=0,"Pendiente",MAX(0,MAX(AB542,AD542,AF542)-O542))))</f>
        <v/>
      </c>
    </row>
    <row r="543" hidden="1" ht="15" customHeight="1">
      <c r="A543" s="22" t="n"/>
      <c r="B543" s="22" t="n"/>
      <c r="C543" s="22" t="n"/>
      <c r="D543" s="13" t="n"/>
      <c r="E543" s="13" t="n"/>
      <c r="F543" s="13" t="n"/>
      <c r="G543" s="13" t="n"/>
      <c r="H543" s="23" t="n"/>
      <c r="I543" s="104" t="n"/>
      <c r="J543" s="105" t="n"/>
      <c r="K543" s="105" t="n"/>
      <c r="L543" s="13" t="n"/>
      <c r="M543" s="22" t="n"/>
      <c r="N543" s="24" t="n"/>
      <c r="O543" s="106" t="n"/>
      <c r="P543" s="22" t="n"/>
      <c r="Q543" s="22" t="n"/>
      <c r="R543" s="22" t="n"/>
      <c r="S543" s="105" t="n"/>
      <c r="T543" s="105" t="n"/>
      <c r="U543" s="105" t="n"/>
      <c r="V543" s="105" t="n"/>
      <c r="W543" s="105" t="n"/>
      <c r="X543" s="105" t="n"/>
      <c r="Y543" s="105" t="n"/>
      <c r="Z543" s="105" t="n"/>
      <c r="AA543" s="105" t="n"/>
      <c r="AB543" s="22" t="n"/>
      <c r="AC543" s="105" t="n"/>
      <c r="AD543" s="22" t="n"/>
      <c r="AE543" s="105" t="n"/>
      <c r="AF543" s="22" t="n"/>
      <c r="AG543" s="105" t="n"/>
      <c r="AH543" s="105" t="n"/>
      <c r="AI543" s="105" t="n"/>
      <c r="AJ543" s="105" t="n"/>
      <c r="AK543" s="21">
        <f>IF(Q543="ANULADA","N/A",IF(ABS(AJ543)&gt;10,"Pendiente",IF(MAX(AB543,AD543,AF543)=0,"Pendiente",MAX(0,MAX(AB543,AD543,AF543)-O543))))</f>
        <v/>
      </c>
    </row>
    <row r="544" hidden="1" ht="15" customHeight="1">
      <c r="A544" s="22" t="n"/>
      <c r="B544" s="22" t="n"/>
      <c r="C544" s="22" t="n"/>
      <c r="D544" s="13" t="n"/>
      <c r="E544" s="13" t="n"/>
      <c r="F544" s="13" t="n"/>
      <c r="G544" s="13" t="n"/>
      <c r="H544" s="23" t="n"/>
      <c r="I544" s="104" t="n"/>
      <c r="J544" s="105" t="n"/>
      <c r="K544" s="105" t="n"/>
      <c r="L544" s="13" t="n"/>
      <c r="M544" s="22" t="n"/>
      <c r="N544" s="24" t="n"/>
      <c r="O544" s="106" t="n"/>
      <c r="P544" s="22" t="n"/>
      <c r="Q544" s="22" t="n"/>
      <c r="R544" s="22" t="n"/>
      <c r="S544" s="105" t="n"/>
      <c r="T544" s="105" t="n"/>
      <c r="U544" s="105" t="n"/>
      <c r="V544" s="105" t="n"/>
      <c r="W544" s="105" t="n"/>
      <c r="X544" s="105" t="n"/>
      <c r="Y544" s="105" t="n"/>
      <c r="Z544" s="105" t="n"/>
      <c r="AA544" s="105" t="n"/>
      <c r="AB544" s="22" t="n"/>
      <c r="AC544" s="105" t="n"/>
      <c r="AD544" s="22" t="n"/>
      <c r="AE544" s="105" t="n"/>
      <c r="AF544" s="22" t="n"/>
      <c r="AG544" s="105" t="n"/>
      <c r="AH544" s="105" t="n"/>
      <c r="AI544" s="105" t="n"/>
      <c r="AJ544" s="105" t="n"/>
      <c r="AK544" s="21">
        <f>IF(Q544="ANULADA","N/A",IF(ABS(AJ544)&gt;10,"Pendiente",IF(MAX(AB544,AD544,AF544)=0,"Pendiente",MAX(0,MAX(AB544,AD544,AF544)-O544))))</f>
        <v/>
      </c>
    </row>
    <row r="545" hidden="1" ht="15" customHeight="1">
      <c r="A545" s="22" t="n"/>
      <c r="B545" s="22" t="n"/>
      <c r="C545" s="22" t="n"/>
      <c r="D545" s="13" t="n"/>
      <c r="E545" s="13" t="n"/>
      <c r="F545" s="13" t="n"/>
      <c r="G545" s="13" t="n"/>
      <c r="H545" s="23" t="n"/>
      <c r="I545" s="104" t="n"/>
      <c r="J545" s="105" t="n"/>
      <c r="K545" s="105" t="n"/>
      <c r="L545" s="13" t="n"/>
      <c r="M545" s="22" t="n"/>
      <c r="N545" s="24" t="n"/>
      <c r="O545" s="106" t="n"/>
      <c r="P545" s="22" t="n"/>
      <c r="Q545" s="39" t="n"/>
      <c r="R545" s="22" t="n"/>
      <c r="S545" s="105" t="n"/>
      <c r="T545" s="105" t="n"/>
      <c r="U545" s="105" t="n"/>
      <c r="V545" s="105" t="n"/>
      <c r="W545" s="105" t="n"/>
      <c r="X545" s="105" t="n"/>
      <c r="Y545" s="105" t="n"/>
      <c r="Z545" s="105" t="n"/>
      <c r="AA545" s="105" t="n"/>
      <c r="AB545" s="22" t="n"/>
      <c r="AC545" s="105" t="n"/>
      <c r="AD545" s="22" t="n"/>
      <c r="AE545" s="105" t="n"/>
      <c r="AF545" s="22" t="n"/>
      <c r="AG545" s="105" t="n"/>
      <c r="AH545" s="105" t="n"/>
      <c r="AI545" s="105" t="n"/>
      <c r="AJ545" s="105" t="n"/>
      <c r="AK545" s="21">
        <f>IF(Q545="ANULADA","N/A",IF(ABS(AJ545)&gt;10,"Pendiente",IF(MAX(AB545,AD545,AF545)=0,"Pendiente",MAX(0,MAX(AB545,AD545,AF545)-O545))))</f>
        <v/>
      </c>
    </row>
    <row r="546" hidden="1" ht="15" customHeight="1">
      <c r="A546" s="22" t="n"/>
      <c r="B546" s="22" t="n"/>
      <c r="C546" s="22" t="n"/>
      <c r="D546" s="13" t="n"/>
      <c r="E546" s="13" t="n"/>
      <c r="F546" s="13" t="n"/>
      <c r="G546" s="13" t="n"/>
      <c r="H546" s="23" t="n"/>
      <c r="I546" s="104" t="n"/>
      <c r="J546" s="105" t="n"/>
      <c r="K546" s="105" t="n"/>
      <c r="L546" s="13" t="n"/>
      <c r="M546" s="22" t="n"/>
      <c r="N546" s="24" t="n"/>
      <c r="O546" s="106" t="n"/>
      <c r="P546" s="22" t="n"/>
      <c r="Q546" s="22" t="n"/>
      <c r="R546" s="22" t="n"/>
      <c r="S546" s="105" t="n"/>
      <c r="T546" s="105" t="n"/>
      <c r="U546" s="105" t="n"/>
      <c r="V546" s="105" t="n"/>
      <c r="W546" s="105" t="n"/>
      <c r="X546" s="105" t="n"/>
      <c r="Y546" s="105" t="n"/>
      <c r="Z546" s="105" t="n"/>
      <c r="AA546" s="105" t="n"/>
      <c r="AB546" s="22" t="n"/>
      <c r="AC546" s="105" t="n"/>
      <c r="AD546" s="22" t="n"/>
      <c r="AE546" s="105" t="n"/>
      <c r="AF546" s="22" t="n"/>
      <c r="AG546" s="105" t="n"/>
      <c r="AH546" s="105" t="n"/>
      <c r="AI546" s="105" t="n"/>
      <c r="AJ546" s="105" t="n"/>
      <c r="AK546" s="21">
        <f>IF(Q546="ANULADA","N/A",IF(ABS(AJ546)&gt;10,"Pendiente",IF(MAX(AB546,AD546,AF546)=0,"Pendiente",MAX(0,MAX(AB546,AD546,AF546)-O546))))</f>
        <v/>
      </c>
    </row>
    <row r="547" hidden="1" ht="15" customHeight="1">
      <c r="A547" s="22" t="n"/>
      <c r="B547" s="22" t="n"/>
      <c r="C547" s="22" t="n"/>
      <c r="D547" s="13" t="n"/>
      <c r="E547" s="13" t="n"/>
      <c r="F547" s="13" t="n"/>
      <c r="G547" s="13" t="n"/>
      <c r="H547" s="23" t="n"/>
      <c r="I547" s="104" t="n"/>
      <c r="J547" s="105" t="n"/>
      <c r="K547" s="105" t="n"/>
      <c r="L547" s="13" t="n"/>
      <c r="M547" s="22" t="n"/>
      <c r="N547" s="24" t="n"/>
      <c r="O547" s="106" t="n"/>
      <c r="P547" s="22" t="n"/>
      <c r="Q547" s="39" t="n"/>
      <c r="R547" s="22" t="n"/>
      <c r="S547" s="105" t="n"/>
      <c r="T547" s="105" t="n"/>
      <c r="U547" s="105" t="n"/>
      <c r="V547" s="105" t="n"/>
      <c r="W547" s="105" t="n"/>
      <c r="X547" s="105" t="n"/>
      <c r="Y547" s="105" t="n"/>
      <c r="Z547" s="105" t="n"/>
      <c r="AA547" s="105" t="n"/>
      <c r="AB547" s="22" t="n"/>
      <c r="AC547" s="105" t="n"/>
      <c r="AD547" s="22" t="n"/>
      <c r="AE547" s="105" t="n"/>
      <c r="AF547" s="22" t="n"/>
      <c r="AG547" s="105" t="n"/>
      <c r="AH547" s="105" t="n"/>
      <c r="AI547" s="105" t="n"/>
      <c r="AJ547" s="105" t="n"/>
      <c r="AK547" s="21">
        <f>IF(Q547="ANULADA","N/A",IF(ABS(AJ547)&gt;10,"Pendiente",IF(MAX(AB547,AD547,AF547)=0,"Pendiente",MAX(0,MAX(AB547,AD547,AF547)-O547))))</f>
        <v/>
      </c>
    </row>
    <row r="548" hidden="1" ht="15" customHeight="1">
      <c r="A548" s="22" t="n"/>
      <c r="B548" s="22" t="n"/>
      <c r="C548" s="22" t="n"/>
      <c r="D548" s="13" t="n"/>
      <c r="E548" s="13" t="n"/>
      <c r="F548" s="13" t="n"/>
      <c r="G548" s="13" t="n"/>
      <c r="H548" s="23" t="n"/>
      <c r="I548" s="104" t="n"/>
      <c r="J548" s="105" t="n"/>
      <c r="K548" s="105" t="n"/>
      <c r="L548" s="13" t="n"/>
      <c r="M548" s="22" t="n"/>
      <c r="N548" s="24" t="n"/>
      <c r="O548" s="106" t="n"/>
      <c r="P548" s="22" t="n"/>
      <c r="Q548" s="39" t="n"/>
      <c r="R548" s="22" t="n"/>
      <c r="S548" s="105" t="n"/>
      <c r="T548" s="105" t="n"/>
      <c r="U548" s="105" t="n"/>
      <c r="V548" s="105" t="n"/>
      <c r="W548" s="105" t="n"/>
      <c r="X548" s="105" t="n"/>
      <c r="Y548" s="105" t="n"/>
      <c r="Z548" s="105" t="n"/>
      <c r="AA548" s="105" t="n"/>
      <c r="AB548" s="22" t="n"/>
      <c r="AC548" s="105" t="n"/>
      <c r="AD548" s="22" t="n"/>
      <c r="AE548" s="105" t="n"/>
      <c r="AF548" s="22" t="n"/>
      <c r="AG548" s="105" t="n"/>
      <c r="AH548" s="105" t="n"/>
      <c r="AI548" s="105" t="n"/>
      <c r="AJ548" s="105" t="n"/>
      <c r="AK548" s="21">
        <f>IF(Q548="ANULADA","N/A",IF(ABS(AJ548)&gt;10,"Pendiente",IF(MAX(AB548,AD548,AF548)=0,"Pendiente",MAX(0,MAX(AB548,AD548,AF548)-O548))))</f>
        <v/>
      </c>
    </row>
    <row r="549" hidden="1" ht="15" customHeight="1">
      <c r="A549" s="22" t="n"/>
      <c r="B549" s="22" t="n"/>
      <c r="C549" s="22" t="n"/>
      <c r="D549" s="13" t="n"/>
      <c r="E549" s="13" t="n"/>
      <c r="F549" s="13" t="n"/>
      <c r="G549" s="13" t="n"/>
      <c r="H549" s="23" t="n"/>
      <c r="I549" s="104" t="n"/>
      <c r="J549" s="105" t="n"/>
      <c r="K549" s="105" t="n"/>
      <c r="L549" s="13" t="n"/>
      <c r="M549" s="22" t="n"/>
      <c r="N549" s="24" t="n"/>
      <c r="O549" s="106" t="n"/>
      <c r="P549" s="22" t="n"/>
      <c r="Q549" s="22" t="n"/>
      <c r="R549" s="22" t="n"/>
      <c r="S549" s="105" t="n"/>
      <c r="T549" s="105" t="n"/>
      <c r="U549" s="105" t="n"/>
      <c r="V549" s="105" t="n"/>
      <c r="W549" s="105" t="n"/>
      <c r="X549" s="105" t="n"/>
      <c r="Y549" s="105" t="n"/>
      <c r="Z549" s="105" t="n"/>
      <c r="AA549" s="105" t="n"/>
      <c r="AB549" s="22" t="n"/>
      <c r="AC549" s="105" t="n"/>
      <c r="AD549" s="22" t="n"/>
      <c r="AE549" s="105" t="n"/>
      <c r="AF549" s="22" t="n"/>
      <c r="AG549" s="105" t="n"/>
      <c r="AH549" s="105" t="n"/>
      <c r="AI549" s="105" t="n"/>
      <c r="AJ549" s="105" t="n"/>
      <c r="AK549" s="21">
        <f>IF(Q549="ANULADA","N/A",IF(ABS(AJ549)&gt;10,"Pendiente",IF(MAX(AB549,AD549,AF549)=0,"Pendiente",MAX(0,MAX(AB549,AD549,AF549)-O549))))</f>
        <v/>
      </c>
    </row>
    <row r="550" hidden="1" ht="15" customHeight="1">
      <c r="A550" s="22" t="n"/>
      <c r="B550" s="22" t="n"/>
      <c r="C550" s="22" t="n"/>
      <c r="D550" s="13" t="n"/>
      <c r="E550" s="13" t="n"/>
      <c r="F550" s="13" t="n"/>
      <c r="G550" s="13" t="n"/>
      <c r="H550" s="23" t="n"/>
      <c r="I550" s="104" t="n"/>
      <c r="J550" s="105" t="n"/>
      <c r="K550" s="105" t="n"/>
      <c r="L550" s="13" t="n"/>
      <c r="M550" s="22" t="n"/>
      <c r="N550" s="24" t="n"/>
      <c r="O550" s="106" t="n"/>
      <c r="P550" s="22" t="n"/>
      <c r="Q550" s="22" t="n"/>
      <c r="R550" s="22" t="n"/>
      <c r="S550" s="105" t="n"/>
      <c r="T550" s="105" t="n"/>
      <c r="U550" s="105" t="n"/>
      <c r="V550" s="105" t="n"/>
      <c r="W550" s="105" t="n"/>
      <c r="X550" s="105" t="n"/>
      <c r="Y550" s="105" t="n"/>
      <c r="Z550" s="105" t="n"/>
      <c r="AA550" s="105" t="n"/>
      <c r="AB550" s="22" t="n"/>
      <c r="AC550" s="105" t="n"/>
      <c r="AD550" s="22" t="n"/>
      <c r="AE550" s="105" t="n"/>
      <c r="AF550" s="22" t="n"/>
      <c r="AG550" s="105" t="n"/>
      <c r="AH550" s="105" t="n"/>
      <c r="AI550" s="105" t="n"/>
      <c r="AJ550" s="105" t="n"/>
      <c r="AK550" s="21">
        <f>IF(Q550="ANULADA","N/A",IF(ABS(AJ550)&gt;10,"Pendiente",IF(MAX(AB550,AD550,AF550)=0,"Pendiente",MAX(0,MAX(AB550,AD550,AF550)-O550))))</f>
        <v/>
      </c>
    </row>
    <row r="551" hidden="1" ht="15" customHeight="1">
      <c r="A551" s="22" t="n"/>
      <c r="B551" s="25" t="n"/>
      <c r="C551" s="22" t="n"/>
      <c r="D551" s="13" t="n"/>
      <c r="E551" s="13" t="n"/>
      <c r="F551" s="13" t="n"/>
      <c r="G551" s="13" t="n"/>
      <c r="H551" s="23" t="n"/>
      <c r="I551" s="104" t="n"/>
      <c r="J551" s="115" t="n"/>
      <c r="K551" s="115" t="n"/>
      <c r="L551" s="13" t="n"/>
      <c r="M551" s="22" t="n"/>
      <c r="N551" s="38" t="n"/>
      <c r="O551" s="106" t="n"/>
      <c r="P551" s="22" t="n"/>
      <c r="Q551" s="22" t="n"/>
      <c r="R551" s="22" t="n"/>
      <c r="S551" s="105" t="n"/>
      <c r="T551" s="105" t="n"/>
      <c r="U551" s="105">
        <f>+S551*21%</f>
        <v/>
      </c>
      <c r="V551" s="105">
        <f>+S551*3%</f>
        <v/>
      </c>
      <c r="W551" s="105">
        <f>+S551*2.5%</f>
        <v/>
      </c>
      <c r="X551" s="105">
        <f>IF(A551="00-175",S551*0.06,0)</f>
        <v/>
      </c>
      <c r="Y551" s="105" t="n"/>
      <c r="Z551" s="105" t="n"/>
      <c r="AA551" s="105">
        <f>+S551+T551+U551+W551+X551+V551+Y551</f>
        <v/>
      </c>
      <c r="AB551" s="22" t="n"/>
      <c r="AC551" s="105" t="n"/>
      <c r="AD551" s="22" t="n"/>
      <c r="AE551" s="105" t="n"/>
      <c r="AF551" s="22" t="n"/>
      <c r="AG551" s="105" t="n"/>
      <c r="AH551" s="105" t="n"/>
      <c r="AI551" s="105">
        <f>+AC551+AE551+AG551+AH551</f>
        <v/>
      </c>
      <c r="AJ551" s="105">
        <f>+AA551-AI551</f>
        <v/>
      </c>
      <c r="AK551" s="21">
        <f>IF(Q551="ANULADA","N/A",IF(ABS(AJ551)&gt;10,"Pendiente",IF(MAX(AB551,AD551,AF551)=0,"Pendiente",MAX(0,MAX(AB551,AD551,AF551)-O551))))</f>
        <v/>
      </c>
    </row>
    <row r="552" hidden="1" ht="15" customHeight="1">
      <c r="A552" s="22" t="inlineStr">
        <is>
          <t>00-175</t>
        </is>
      </c>
      <c r="B552" s="22" t="inlineStr">
        <is>
          <t>NUEVA MARINAS DE HUDSON INVERSORA SA</t>
        </is>
      </c>
      <c r="C552" s="22" t="inlineStr">
        <is>
          <t>Laguna 4 - Puerto Nizuc</t>
        </is>
      </c>
      <c r="D552" s="13" t="inlineStr">
        <is>
          <t>Laguna 4</t>
        </is>
      </c>
      <c r="E552" s="13" t="n">
        <v>13</v>
      </c>
      <c r="F552" s="13" t="inlineStr">
        <is>
          <t>Basico</t>
        </is>
      </c>
      <c r="G552" s="13" t="inlineStr">
        <is>
          <t>Basico</t>
        </is>
      </c>
      <c r="H552" s="30" t="n">
        <v>46143</v>
      </c>
      <c r="I552" s="104" t="n"/>
      <c r="J552" s="105" t="n">
        <v>105335435.09</v>
      </c>
      <c r="K552" s="105">
        <f>+J552</f>
        <v/>
      </c>
      <c r="L552" s="13" t="inlineStr">
        <is>
          <t>En Espera</t>
        </is>
      </c>
      <c r="M552" s="22" t="n"/>
      <c r="N552" s="24" t="n"/>
      <c r="O552" s="106" t="n"/>
      <c r="P552" s="22" t="n"/>
      <c r="Q552" s="22" t="n"/>
      <c r="R552" s="22" t="n"/>
      <c r="S552" s="105" t="n"/>
      <c r="T552" s="105" t="n"/>
      <c r="U552" s="105">
        <f>+S552*21%</f>
        <v/>
      </c>
      <c r="V552" s="105">
        <f>+S552*3%</f>
        <v/>
      </c>
      <c r="W552" s="105">
        <f>+S552*0.3%</f>
        <v/>
      </c>
      <c r="X552" s="105">
        <f>IF(A552="00-175",S552*0.06,0)</f>
        <v/>
      </c>
      <c r="Y552" s="105" t="n"/>
      <c r="Z552" s="105" t="n"/>
      <c r="AA552" s="105">
        <f>+S552+T552+U552+W552+X552+V552+Y552</f>
        <v/>
      </c>
      <c r="AB552" s="22" t="n"/>
      <c r="AC552" s="105" t="n"/>
      <c r="AD552" s="22" t="n"/>
      <c r="AE552" s="105" t="n"/>
      <c r="AF552" s="22" t="n"/>
      <c r="AG552" s="105" t="n"/>
      <c r="AH552" s="105" t="n"/>
      <c r="AI552" s="105">
        <f>+AC552+AE552+AG552+AH552</f>
        <v/>
      </c>
      <c r="AJ552" s="105">
        <f>+AA552-AI552</f>
        <v/>
      </c>
      <c r="AK552" s="21">
        <f>IF(Q552="ANULADA","N/A",IF(ABS(AJ552)&gt;10,"Pendiente",IF(MAX(AB552,AD552,AF552)=0,"Pendiente",MAX(0,MAX(AB552,AD552,AF552)-O552))))</f>
        <v/>
      </c>
    </row>
    <row r="553" hidden="1" ht="15" customHeight="1">
      <c r="A553" s="22" t="inlineStr">
        <is>
          <t>00-175</t>
        </is>
      </c>
      <c r="B553" s="22" t="inlineStr">
        <is>
          <t>NUEVA MARINAS DE HUDSON INVERSORA SA</t>
        </is>
      </c>
      <c r="C553" s="22" t="inlineStr">
        <is>
          <t>Laguna 4 - Puerto Nizuc</t>
        </is>
      </c>
      <c r="D553" s="13" t="inlineStr">
        <is>
          <t>Laguna 4</t>
        </is>
      </c>
      <c r="E553" s="13" t="n">
        <v>13</v>
      </c>
      <c r="F553" s="13" t="inlineStr">
        <is>
          <t>Redet</t>
        </is>
      </c>
      <c r="G553" s="13" t="inlineStr">
        <is>
          <t>Redet.</t>
        </is>
      </c>
      <c r="H553" s="30" t="n">
        <v>46143</v>
      </c>
      <c r="I553" s="104" t="n"/>
      <c r="J553" s="105" t="n">
        <v>34945849.08</v>
      </c>
      <c r="K553" s="105">
        <f>+J553</f>
        <v/>
      </c>
      <c r="L553" s="13" t="inlineStr">
        <is>
          <t>En Espera</t>
        </is>
      </c>
      <c r="M553" s="22" t="n"/>
      <c r="N553" s="24" t="n"/>
      <c r="O553" s="106" t="n"/>
      <c r="P553" s="22" t="n"/>
      <c r="Q553" s="22" t="n"/>
      <c r="R553" s="22" t="n"/>
      <c r="S553" s="105" t="n"/>
      <c r="T553" s="105" t="n"/>
      <c r="U553" s="105">
        <f>+S553*21%</f>
        <v/>
      </c>
      <c r="V553" s="105">
        <f>+S553*3%</f>
        <v/>
      </c>
      <c r="W553" s="105">
        <f>+S553*0.3%</f>
        <v/>
      </c>
      <c r="X553" s="105">
        <f>IF(A553="00-175",S553*0.06,0)</f>
        <v/>
      </c>
      <c r="Y553" s="105" t="n"/>
      <c r="Z553" s="105" t="n"/>
      <c r="AA553" s="105">
        <f>+S553+T553+U553+W553+X553+V553+Y553</f>
        <v/>
      </c>
      <c r="AB553" s="22" t="n"/>
      <c r="AC553" s="105" t="n"/>
      <c r="AD553" s="22" t="n"/>
      <c r="AE553" s="105" t="n"/>
      <c r="AF553" s="22" t="n"/>
      <c r="AG553" s="105" t="n"/>
      <c r="AH553" s="105" t="n"/>
      <c r="AI553" s="105">
        <f>+AC553+AE553+AG553+AH553</f>
        <v/>
      </c>
      <c r="AJ553" s="105">
        <f>+AA553-AI553</f>
        <v/>
      </c>
      <c r="AK553" s="21">
        <f>IF(Q553="ANULADA","N/A",IF(ABS(AJ553)&gt;10,"Pendiente",IF(MAX(AB553,AD553,AF553)=0,"Pendiente",MAX(0,MAX(AB553,AD553,AF553)-O553))))</f>
        <v/>
      </c>
    </row>
    <row r="554" hidden="1" ht="15" customHeight="1">
      <c r="A554" s="22" t="inlineStr">
        <is>
          <t>00-176</t>
        </is>
      </c>
      <c r="B554" s="25" t="inlineStr">
        <is>
          <t>FIDEICOMISO MARINAS DEL PLATA</t>
        </is>
      </c>
      <c r="C554" s="22" t="inlineStr">
        <is>
          <t>Asfalto Etapa 2 A - Puerto Nizuc</t>
        </is>
      </c>
      <c r="D554" s="13" t="inlineStr">
        <is>
          <t>PAVIMENTACIÓN 2A/ 2B/ L5 / L6/ L7/ BOULEVARD</t>
        </is>
      </c>
      <c r="E554" s="13" t="n">
        <v>2</v>
      </c>
      <c r="F554" s="13" t="inlineStr">
        <is>
          <t>Basico Obras 2a</t>
        </is>
      </c>
      <c r="G554" s="13" t="inlineStr">
        <is>
          <t>Basico</t>
        </is>
      </c>
      <c r="H554" s="30" t="n">
        <v>46143</v>
      </c>
      <c r="I554" s="104" t="n"/>
      <c r="J554" s="105" t="n">
        <v>287068990.87</v>
      </c>
      <c r="K554" s="105">
        <f>+J554</f>
        <v/>
      </c>
      <c r="L554" s="13" t="inlineStr">
        <is>
          <t>En Espera</t>
        </is>
      </c>
      <c r="M554" s="12" t="n"/>
      <c r="N554" s="24" t="n"/>
      <c r="O554" s="106" t="n"/>
      <c r="P554" s="22" t="n"/>
      <c r="Q554" s="22" t="n"/>
      <c r="R554" s="22" t="n"/>
      <c r="S554" s="105" t="n"/>
      <c r="T554" s="105" t="n"/>
      <c r="U554" s="105">
        <f>+S554*21%</f>
        <v/>
      </c>
      <c r="V554" s="105">
        <f>+S554*3%</f>
        <v/>
      </c>
      <c r="W554" s="105">
        <f>+S554*2.5%</f>
        <v/>
      </c>
      <c r="X554" s="105">
        <f>IF(A554="00-175",S554*0.06,0)</f>
        <v/>
      </c>
      <c r="Y554" s="105" t="n"/>
      <c r="Z554" s="105" t="n"/>
      <c r="AA554" s="105">
        <f>+S554+T554+U554+W554+X554+V554+Y554</f>
        <v/>
      </c>
      <c r="AB554" s="22" t="n"/>
      <c r="AC554" s="105" t="n"/>
      <c r="AD554" s="22" t="n"/>
      <c r="AE554" s="105" t="n"/>
      <c r="AF554" s="22" t="n"/>
      <c r="AG554" s="105" t="n"/>
      <c r="AH554" s="105" t="n"/>
      <c r="AI554" s="105">
        <f>+AC554+AE554+AG554+AH554</f>
        <v/>
      </c>
      <c r="AJ554" s="105">
        <f>+AA554-AI554</f>
        <v/>
      </c>
      <c r="AK554" s="21">
        <f>IF(Q554="ANULADA","N/A",IF(ABS(AJ554)&gt;10,"Pendiente",IF(MAX(AB554,AD554,AF554)=0,"Pendiente",MAX(0,MAX(AB554,AD554,AF554)-O554))))</f>
        <v/>
      </c>
    </row>
    <row r="555" hidden="1" ht="15" customHeight="1">
      <c r="A555" s="22" t="inlineStr">
        <is>
          <t>00-176</t>
        </is>
      </c>
      <c r="B555" s="25" t="inlineStr">
        <is>
          <t>FIDEICOMISO MARINAS DEL PLATA</t>
        </is>
      </c>
      <c r="C555" s="22" t="inlineStr">
        <is>
          <t>Asfalto Etapa 2 A - Puerto Nizuc</t>
        </is>
      </c>
      <c r="D555" s="13" t="inlineStr">
        <is>
          <t>PAVIMENTACIÓN 2A/ 2B/ L5 / L6/ L7/ BOULEVARD</t>
        </is>
      </c>
      <c r="E555" s="13" t="n">
        <v>2</v>
      </c>
      <c r="F555" s="13" t="inlineStr">
        <is>
          <t>Basico Obras 2a</t>
        </is>
      </c>
      <c r="G555" s="13" t="inlineStr">
        <is>
          <t>Redet.</t>
        </is>
      </c>
      <c r="H555" s="30" t="n">
        <v>46143</v>
      </c>
      <c r="I555" s="104" t="n"/>
      <c r="J555" s="105" t="n">
        <v>26246176.69</v>
      </c>
      <c r="K555" s="105">
        <f>+J555</f>
        <v/>
      </c>
      <c r="L555" s="13" t="inlineStr">
        <is>
          <t>En Espera</t>
        </is>
      </c>
      <c r="M555" s="12" t="n"/>
      <c r="N555" s="24" t="n"/>
      <c r="O555" s="106" t="n"/>
      <c r="P555" s="22" t="n"/>
      <c r="Q555" s="22" t="n"/>
      <c r="R555" s="22" t="n"/>
      <c r="S555" s="105" t="n"/>
      <c r="T555" s="105" t="n"/>
      <c r="U555" s="105">
        <f>+S555*21%</f>
        <v/>
      </c>
      <c r="V555" s="105">
        <f>+S555*3%</f>
        <v/>
      </c>
      <c r="W555" s="105">
        <f>+S555*2.5%</f>
        <v/>
      </c>
      <c r="X555" s="105">
        <f>IF(A555="00-175",S555*0.06,0)</f>
        <v/>
      </c>
      <c r="Y555" s="105" t="n"/>
      <c r="Z555" s="105" t="n"/>
      <c r="AA555" s="105">
        <f>+S555+T555+U555+W555+X555+V555+Y555</f>
        <v/>
      </c>
      <c r="AB555" s="22" t="n"/>
      <c r="AC555" s="105" t="n"/>
      <c r="AD555" s="22" t="n"/>
      <c r="AE555" s="105" t="n"/>
      <c r="AF555" s="22" t="n"/>
      <c r="AG555" s="105" t="n"/>
      <c r="AH555" s="105" t="n"/>
      <c r="AI555" s="105">
        <f>+AC555+AE555+AG555+AH555</f>
        <v/>
      </c>
      <c r="AJ555" s="105">
        <f>+AA555-AI555</f>
        <v/>
      </c>
      <c r="AK555" s="21">
        <f>IF(Q555="ANULADA","N/A",IF(ABS(AJ555)&gt;10,"Pendiente",IF(MAX(AB555,AD555,AF555)=0,"Pendiente",MAX(0,MAX(AB555,AD555,AF555)-O555))))</f>
        <v/>
      </c>
    </row>
    <row r="556" hidden="1" ht="15" customHeight="1">
      <c r="A556" s="22" t="inlineStr">
        <is>
          <t>00-176</t>
        </is>
      </c>
      <c r="B556" s="25" t="inlineStr">
        <is>
          <t>FIDEICOMISO MARINAS DEL PLATA</t>
        </is>
      </c>
      <c r="C556" s="22" t="inlineStr">
        <is>
          <t>Asfalto Etapa 2 A - Puerto Nizuc</t>
        </is>
      </c>
      <c r="D556" s="13" t="inlineStr">
        <is>
          <t>PAVIMENTACIÓN 2A/ 2B/ L5 / L6/ L7/ BOULEVARD</t>
        </is>
      </c>
      <c r="E556" s="13" t="n">
        <v>2</v>
      </c>
      <c r="F556" s="13" t="inlineStr">
        <is>
          <t>Basico Obras 2a</t>
        </is>
      </c>
      <c r="G556" s="13" t="inlineStr">
        <is>
          <t>Redet.</t>
        </is>
      </c>
      <c r="H556" s="30" t="n">
        <v>46143</v>
      </c>
      <c r="I556" s="104" t="n"/>
      <c r="J556" s="105" t="n">
        <v>16186618.82</v>
      </c>
      <c r="K556" s="105">
        <f>+J556</f>
        <v/>
      </c>
      <c r="L556" s="13" t="inlineStr">
        <is>
          <t>En Espera</t>
        </is>
      </c>
      <c r="M556" s="12" t="n"/>
      <c r="N556" s="24" t="n"/>
      <c r="O556" s="106" t="n"/>
      <c r="P556" s="22" t="n"/>
      <c r="Q556" s="22" t="n"/>
      <c r="R556" s="22" t="n"/>
      <c r="S556" s="105" t="n"/>
      <c r="T556" s="105" t="n"/>
      <c r="U556" s="105">
        <f>+S556*21%</f>
        <v/>
      </c>
      <c r="V556" s="105">
        <f>+S556*3%</f>
        <v/>
      </c>
      <c r="W556" s="105">
        <f>+S556*2.5%</f>
        <v/>
      </c>
      <c r="X556" s="105">
        <f>IF(A556="00-175",S556*0.06,0)</f>
        <v/>
      </c>
      <c r="Y556" s="105" t="n"/>
      <c r="Z556" s="105" t="n"/>
      <c r="AA556" s="105">
        <f>+S556+T556+U556+W556+X556+V556+Y556</f>
        <v/>
      </c>
      <c r="AB556" s="22" t="n"/>
      <c r="AC556" s="105" t="n"/>
      <c r="AD556" s="22" t="n"/>
      <c r="AE556" s="105" t="n"/>
      <c r="AF556" s="22" t="n"/>
      <c r="AG556" s="105" t="n"/>
      <c r="AH556" s="105" t="n"/>
      <c r="AI556" s="105">
        <f>+AC556+AE556+AG556+AH556</f>
        <v/>
      </c>
      <c r="AJ556" s="105">
        <f>+AA556-AI556</f>
        <v/>
      </c>
      <c r="AK556" s="21">
        <f>IF(Q556="ANULADA","N/A",IF(ABS(AJ556)&gt;10,"Pendiente",IF(MAX(AB556,AD556,AF556)=0,"Pendiente",MAX(0,MAX(AB556,AD556,AF556)-O556))))</f>
        <v/>
      </c>
    </row>
    <row r="557" hidden="1" ht="15" customHeight="1">
      <c r="A557" s="22" t="inlineStr">
        <is>
          <t>00-176d</t>
        </is>
      </c>
      <c r="B557" s="25" t="inlineStr">
        <is>
          <t>FIDEICOMISO MARINAS DEL PLATA</t>
        </is>
      </c>
      <c r="C557" s="22" t="inlineStr">
        <is>
          <t>Asfalto Etapa 2 A - Puerto Nizuc</t>
        </is>
      </c>
      <c r="D557" s="13" t="inlineStr">
        <is>
          <t>Redet. REPARACION DE CORDONES Y BADENES ETAPA 2</t>
        </is>
      </c>
      <c r="E557" s="13" t="n">
        <v>2</v>
      </c>
      <c r="F557" s="13" t="inlineStr">
        <is>
          <t>Redet Obras 2a</t>
        </is>
      </c>
      <c r="G557" s="13" t="inlineStr">
        <is>
          <t>Redet.</t>
        </is>
      </c>
      <c r="H557" s="30" t="n">
        <v>46143</v>
      </c>
      <c r="I557" s="104" t="n"/>
      <c r="J557" s="105" t="n">
        <v>70856102.02</v>
      </c>
      <c r="K557" s="105">
        <f>+J557</f>
        <v/>
      </c>
      <c r="L557" s="13" t="inlineStr">
        <is>
          <t>En Espera</t>
        </is>
      </c>
      <c r="M557" s="22" t="n"/>
      <c r="N557" s="24" t="n"/>
      <c r="O557" s="106" t="n"/>
      <c r="P557" s="22" t="n"/>
      <c r="Q557" s="22" t="n"/>
      <c r="R557" s="22" t="n"/>
      <c r="S557" s="105" t="n"/>
      <c r="T557" s="105" t="n"/>
      <c r="U557" s="105">
        <f>+S557*21%</f>
        <v/>
      </c>
      <c r="V557" s="105">
        <f>+S557*3%</f>
        <v/>
      </c>
      <c r="W557" s="105">
        <f>+S557*0.3%</f>
        <v/>
      </c>
      <c r="X557" s="105">
        <f>IF(A557="00-175",S557*0.06,0)</f>
        <v/>
      </c>
      <c r="Y557" s="105" t="n"/>
      <c r="Z557" s="105" t="n"/>
      <c r="AA557" s="105">
        <f>+S557+T557+U557+W557+X557+V557+Y557</f>
        <v/>
      </c>
      <c r="AB557" s="22" t="n"/>
      <c r="AC557" s="105" t="n"/>
      <c r="AD557" s="22" t="n"/>
      <c r="AE557" s="105" t="n"/>
      <c r="AF557" s="22" t="n"/>
      <c r="AG557" s="105" t="n"/>
      <c r="AH557" s="105" t="n"/>
      <c r="AI557" s="105">
        <f>+AC557+AE557+AG557+AH557</f>
        <v/>
      </c>
      <c r="AJ557" s="105">
        <f>+AA557-AI557</f>
        <v/>
      </c>
      <c r="AK557" s="21">
        <f>IF(Q557="ANULADA","N/A",IF(ABS(AJ557)&gt;10,"Pendiente",IF(MAX(AB557,AD557,AF557)=0,"Pendiente",MAX(0,MAX(AB557,AD557,AF557)-O557))))</f>
        <v/>
      </c>
    </row>
    <row r="558" hidden="1" ht="15" customHeight="1">
      <c r="A558" s="22" t="inlineStr">
        <is>
          <t>00-176d</t>
        </is>
      </c>
      <c r="B558" s="25" t="inlineStr">
        <is>
          <t>FIDEICOMISO MARINAS DEL PLATA</t>
        </is>
      </c>
      <c r="C558" s="22" t="inlineStr">
        <is>
          <t>Asfalto Etapa 2 A - Puerto Nizuc</t>
        </is>
      </c>
      <c r="D558" s="13" t="inlineStr">
        <is>
          <t>Basico REPARACION DE CORDONES Y BADENES ETAPA 2</t>
        </is>
      </c>
      <c r="E558" s="13" t="n">
        <v>2</v>
      </c>
      <c r="F558" s="13" t="inlineStr">
        <is>
          <t>Basico Obras 2a</t>
        </is>
      </c>
      <c r="G558" s="13" t="inlineStr">
        <is>
          <t>Basico</t>
        </is>
      </c>
      <c r="H558" s="30" t="n">
        <v>46143</v>
      </c>
      <c r="I558" s="104" t="n"/>
      <c r="J558" s="105" t="n">
        <v>6478239.84</v>
      </c>
      <c r="K558" s="105">
        <f>+J558</f>
        <v/>
      </c>
      <c r="L558" s="13" t="inlineStr">
        <is>
          <t>En Espera</t>
        </is>
      </c>
      <c r="M558" s="22" t="n"/>
      <c r="N558" s="24" t="n"/>
      <c r="O558" s="106" t="n"/>
      <c r="P558" s="22" t="n"/>
      <c r="Q558" s="22" t="n"/>
      <c r="R558" s="22" t="n"/>
      <c r="S558" s="105" t="n"/>
      <c r="T558" s="105" t="n"/>
      <c r="U558" s="105">
        <f>+S558*21%</f>
        <v/>
      </c>
      <c r="V558" s="105">
        <f>+S558*3%</f>
        <v/>
      </c>
      <c r="W558" s="105">
        <f>+S558*0.3%</f>
        <v/>
      </c>
      <c r="X558" s="105">
        <f>IF(A558="00-175",S558*0.06,0)</f>
        <v/>
      </c>
      <c r="Y558" s="105" t="n"/>
      <c r="Z558" s="105" t="n"/>
      <c r="AA558" s="105">
        <f>+S558+T558+U558+W558+X558+V558+Y558</f>
        <v/>
      </c>
      <c r="AB558" s="22" t="n"/>
      <c r="AC558" s="105" t="n"/>
      <c r="AD558" s="22" t="n"/>
      <c r="AE558" s="105" t="n"/>
      <c r="AF558" s="22" t="n"/>
      <c r="AG558" s="105" t="n"/>
      <c r="AH558" s="105" t="n"/>
      <c r="AI558" s="105">
        <f>+AC558+AE558+AG558+AH558</f>
        <v/>
      </c>
      <c r="AJ558" s="105">
        <f>+AA558-AI558</f>
        <v/>
      </c>
      <c r="AK558" s="21">
        <f>IF(Q558="ANULADA","N/A",IF(ABS(AJ558)&gt;10,"Pendiente",IF(MAX(AB558,AD558,AF558)=0,"Pendiente",MAX(0,MAX(AB558,AD558,AF558)-O558))))</f>
        <v/>
      </c>
    </row>
    <row r="559" hidden="1" ht="15" customHeight="1">
      <c r="A559" s="22" t="inlineStr">
        <is>
          <t>00-176d</t>
        </is>
      </c>
      <c r="B559" s="25" t="inlineStr">
        <is>
          <t>FIDEICOMISO MARINAS DEL PLATA</t>
        </is>
      </c>
      <c r="C559" s="22" t="inlineStr">
        <is>
          <t>Asfalto Etapa 2 A - Puerto Nizuc</t>
        </is>
      </c>
      <c r="D559" s="13" t="inlineStr">
        <is>
          <t>Redet. REPARACION DE CORDONES Y BADENES ETAPA 2</t>
        </is>
      </c>
      <c r="E559" s="13" t="n">
        <v>2</v>
      </c>
      <c r="F559" s="13" t="inlineStr">
        <is>
          <t>Redet Obras 2a</t>
        </is>
      </c>
      <c r="G559" s="13" t="inlineStr">
        <is>
          <t>Redet.</t>
        </is>
      </c>
      <c r="H559" s="30" t="n">
        <v>46143</v>
      </c>
      <c r="I559" s="104" t="n"/>
      <c r="J559" s="105" t="n">
        <v>3484801.01</v>
      </c>
      <c r="K559" s="105">
        <f>+J559</f>
        <v/>
      </c>
      <c r="L559" s="13" t="inlineStr">
        <is>
          <t>En Espera</t>
        </is>
      </c>
      <c r="M559" s="22" t="n"/>
      <c r="N559" s="24" t="n"/>
      <c r="O559" s="106" t="n"/>
      <c r="P559" s="22" t="n"/>
      <c r="Q559" s="39" t="n"/>
      <c r="R559" s="22" t="n"/>
      <c r="S559" s="105" t="n"/>
      <c r="T559" s="105" t="n"/>
      <c r="U559" s="105">
        <f>+S559*21%</f>
        <v/>
      </c>
      <c r="V559" s="105">
        <f>+S559*3%</f>
        <v/>
      </c>
      <c r="W559" s="105">
        <f>+S559*0.3%</f>
        <v/>
      </c>
      <c r="X559" s="105">
        <f>IF(A559="00-175",S559*0.06,0)</f>
        <v/>
      </c>
      <c r="Y559" s="105" t="n"/>
      <c r="Z559" s="105" t="n"/>
      <c r="AA559" s="105">
        <f>+S559+T559+U559+W559+X559+V559+Y559</f>
        <v/>
      </c>
      <c r="AB559" s="22" t="n"/>
      <c r="AC559" s="105" t="n"/>
      <c r="AD559" s="22" t="n"/>
      <c r="AE559" s="105" t="n"/>
      <c r="AF559" s="22" t="n"/>
      <c r="AG559" s="105" t="n"/>
      <c r="AH559" s="105" t="n"/>
      <c r="AI559" s="105">
        <f>+AC559+AE559+AG559+AH559</f>
        <v/>
      </c>
      <c r="AJ559" s="105">
        <f>+AA559-AI559</f>
        <v/>
      </c>
      <c r="AK559" s="21">
        <f>IF(Q559="ANULADA","N/A",IF(ABS(AJ559)&gt;10,"Pendiente",IF(MAX(AB559,AD559,AF559)=0,"Pendiente",MAX(0,MAX(AB559,AD559,AF559)-O559))))</f>
        <v/>
      </c>
    </row>
    <row r="560" hidden="1" ht="15" customHeight="1">
      <c r="A560" s="22" t="inlineStr">
        <is>
          <t>00-636</t>
        </is>
      </c>
      <c r="B560" s="25" t="inlineStr">
        <is>
          <t>FIDEICOMISO MARINAS DEL PLATA</t>
        </is>
      </c>
      <c r="C560" s="22" t="inlineStr">
        <is>
          <t>Rama de Egreso y Colectora Bajada Autopista</t>
        </is>
      </c>
      <c r="D560" s="13" t="inlineStr">
        <is>
          <t>Rama de Egreso y Colectora Bajada Autopista</t>
        </is>
      </c>
      <c r="E560" s="13" t="n">
        <v>6</v>
      </c>
      <c r="F560" s="13" t="inlineStr">
        <is>
          <t>Basico</t>
        </is>
      </c>
      <c r="G560" s="13" t="inlineStr">
        <is>
          <t>basico</t>
        </is>
      </c>
      <c r="H560" s="23" t="n">
        <v>46143</v>
      </c>
      <c r="I560" s="104" t="n"/>
      <c r="J560" s="105" t="n">
        <v>69375854.06999999</v>
      </c>
      <c r="K560" s="105" t="n">
        <v>69375854.06999999</v>
      </c>
      <c r="L560" s="13" t="inlineStr">
        <is>
          <t>En Espera</t>
        </is>
      </c>
      <c r="M560" s="45" t="n"/>
      <c r="N560" s="24" t="n"/>
      <c r="O560" s="106" t="n"/>
      <c r="P560" s="22" t="n"/>
      <c r="Q560" s="18" t="n"/>
      <c r="R560" s="18" t="n"/>
      <c r="S560" s="105" t="n"/>
      <c r="T560" s="105" t="n"/>
      <c r="U560" s="105" t="n"/>
      <c r="V560" s="105" t="n"/>
      <c r="W560" s="105" t="n"/>
      <c r="X560" s="105" t="n"/>
      <c r="Y560" s="105" t="n"/>
      <c r="Z560" s="105" t="n"/>
      <c r="AA560" s="105" t="n"/>
      <c r="AB560" s="22" t="n"/>
      <c r="AC560" s="105" t="n"/>
      <c r="AD560" s="22" t="n"/>
      <c r="AE560" s="105" t="n"/>
      <c r="AF560" s="22" t="n"/>
      <c r="AG560" s="105" t="n"/>
      <c r="AH560" s="105" t="n"/>
      <c r="AI560" s="105">
        <f>+AC560+AE560+AG560+AH560</f>
        <v/>
      </c>
      <c r="AJ560" s="105">
        <f>+AA560-AI560</f>
        <v/>
      </c>
      <c r="AK560" s="21">
        <f>IF(Q560="ANULADA","N/A",IF(ABS(AJ560)&gt;10,"Pendiente",IF(MAX(AB560,AD560,AF560)=0,"Pendiente",MAX(0,MAX(AB560,AD560,AF560)-O560))))</f>
        <v/>
      </c>
    </row>
    <row r="561" hidden="1" ht="15" customHeight="1">
      <c r="A561" s="22" t="inlineStr">
        <is>
          <t>00-636</t>
        </is>
      </c>
      <c r="B561" s="25" t="inlineStr">
        <is>
          <t>FIDEICOMISO MARINAS DEL PLATA</t>
        </is>
      </c>
      <c r="C561" s="22" t="inlineStr">
        <is>
          <t>Rama de Egreso y Colectora Bajada Autopista</t>
        </is>
      </c>
      <c r="D561" s="13" t="inlineStr">
        <is>
          <t>Rama de Egreso y Colectora Bajada Autopista</t>
        </is>
      </c>
      <c r="E561" s="13" t="n">
        <v>6</v>
      </c>
      <c r="F561" s="13" t="inlineStr">
        <is>
          <t>Redet</t>
        </is>
      </c>
      <c r="G561" s="13" t="inlineStr">
        <is>
          <t>Redet.</t>
        </is>
      </c>
      <c r="H561" s="23" t="n">
        <v>46143</v>
      </c>
      <c r="I561" s="104" t="n"/>
      <c r="J561" s="105" t="n">
        <v>16246518.27</v>
      </c>
      <c r="K561" s="105" t="n">
        <v>16246518.27</v>
      </c>
      <c r="L561" s="13" t="inlineStr">
        <is>
          <t>En Espera</t>
        </is>
      </c>
      <c r="M561" s="45" t="n"/>
      <c r="N561" s="24" t="n"/>
      <c r="O561" s="106" t="n"/>
      <c r="P561" s="22" t="n"/>
      <c r="Q561" s="18" t="n"/>
      <c r="R561" s="18" t="n"/>
      <c r="S561" s="105" t="n"/>
      <c r="T561" s="105" t="n"/>
      <c r="U561" s="105" t="n"/>
      <c r="V561" s="105" t="n"/>
      <c r="W561" s="105" t="n"/>
      <c r="X561" s="105" t="n"/>
      <c r="Y561" s="105" t="n"/>
      <c r="Z561" s="105" t="n"/>
      <c r="AA561" s="105" t="n"/>
      <c r="AB561" s="22" t="n"/>
      <c r="AC561" s="105" t="n"/>
      <c r="AD561" s="22" t="n"/>
      <c r="AE561" s="105" t="n"/>
      <c r="AF561" s="22" t="n"/>
      <c r="AG561" s="105" t="n"/>
      <c r="AH561" s="105" t="n"/>
      <c r="AI561" s="105">
        <f>+AC561+AE561+AG561+AH561</f>
        <v/>
      </c>
      <c r="AJ561" s="105">
        <f>+AA561-AI561</f>
        <v/>
      </c>
      <c r="AK561" s="21">
        <f>IF(Q561="ANULADA","N/A",IF(ABS(AJ561)&gt;10,"Pendiente",IF(MAX(AB561,AD561,AF561)=0,"Pendiente",MAX(0,MAX(AB561,AD561,AF561)-O561))))</f>
        <v/>
      </c>
    </row>
    <row r="562" hidden="1" ht="15" customHeight="1">
      <c r="A562" s="22" t="inlineStr">
        <is>
          <t>00-175</t>
        </is>
      </c>
      <c r="B562" s="22" t="inlineStr">
        <is>
          <t>NUEVA MARINAS DE HUDSON INVERSORA SA</t>
        </is>
      </c>
      <c r="C562" s="22" t="inlineStr">
        <is>
          <t>Laguna 4 - Puerto Nizuc</t>
        </is>
      </c>
      <c r="D562" s="13" t="inlineStr">
        <is>
          <t>CALLE 50 Nº1</t>
        </is>
      </c>
      <c r="E562" s="13" t="n">
        <v>0</v>
      </c>
      <c r="F562" s="13" t="inlineStr">
        <is>
          <t>Adicional CALLE 50 Nº1</t>
        </is>
      </c>
      <c r="G562" s="13" t="inlineStr">
        <is>
          <t>Basico</t>
        </is>
      </c>
      <c r="H562" s="30" t="n">
        <v>46143</v>
      </c>
      <c r="I562" s="104" t="n"/>
      <c r="J562" s="105" t="n">
        <v>27129407.92</v>
      </c>
      <c r="K562" s="105">
        <f>+J562</f>
        <v/>
      </c>
      <c r="L562" s="13" t="inlineStr">
        <is>
          <t>En Espera</t>
        </is>
      </c>
      <c r="M562" s="22" t="n"/>
      <c r="N562" s="24" t="n"/>
      <c r="O562" s="106" t="n"/>
      <c r="P562" s="22" t="n"/>
      <c r="Q562" s="22" t="n"/>
      <c r="R562" s="22" t="n"/>
      <c r="S562" s="105" t="n"/>
      <c r="T562" s="105" t="n"/>
      <c r="U562" s="105">
        <f>+S562*21%</f>
        <v/>
      </c>
      <c r="V562" s="105">
        <f>+S562*3%</f>
        <v/>
      </c>
      <c r="W562" s="105">
        <f>+S562*0.3%</f>
        <v/>
      </c>
      <c r="X562" s="105">
        <f>IF(A562="00-175",S562*0.06,0)</f>
        <v/>
      </c>
      <c r="Y562" s="105" t="n"/>
      <c r="Z562" s="105" t="n"/>
      <c r="AA562" s="105">
        <f>+S562+T562+U562+W562+X562+V562+Y562</f>
        <v/>
      </c>
      <c r="AB562" s="22" t="n"/>
      <c r="AC562" s="105" t="n"/>
      <c r="AD562" s="22" t="n"/>
      <c r="AE562" s="105" t="n"/>
      <c r="AF562" s="22" t="n"/>
      <c r="AG562" s="105" t="n"/>
      <c r="AH562" s="105" t="n"/>
      <c r="AI562" s="105">
        <f>+AC562+AE562+AG562+AH562</f>
        <v/>
      </c>
      <c r="AJ562" s="105">
        <f>+AA562-AI562</f>
        <v/>
      </c>
      <c r="AK562" s="21">
        <f>IF(Q562="ANULADA","N/A",IF(ABS(AJ562)&gt;10,"Pendiente",IF(MAX(AB562,AD562,AF562)=0,"Pendiente",MAX(0,MAX(AB562,AD562,AF562)-O562))))</f>
        <v/>
      </c>
    </row>
    <row r="563" hidden="1" ht="15" customHeight="1">
      <c r="A563" s="22" t="inlineStr">
        <is>
          <t>00-175</t>
        </is>
      </c>
      <c r="B563" s="22" t="inlineStr">
        <is>
          <t>NUEVA MARINAS DE HUDSON INVERSORA SA</t>
        </is>
      </c>
      <c r="C563" s="22" t="inlineStr">
        <is>
          <t>Laguna 4 - Puerto Nizuc</t>
        </is>
      </c>
      <c r="D563" s="13" t="inlineStr">
        <is>
          <t>CALLE 50 Nº1</t>
        </is>
      </c>
      <c r="E563" s="13" t="n">
        <v>0</v>
      </c>
      <c r="F563" s="13" t="inlineStr">
        <is>
          <t>Adicional CALLE 50 Nº1</t>
        </is>
      </c>
      <c r="G563" s="13" t="inlineStr">
        <is>
          <t>Redet.</t>
        </is>
      </c>
      <c r="H563" s="30" t="n">
        <v>46143</v>
      </c>
      <c r="I563" s="104" t="n"/>
      <c r="J563" s="105" t="n">
        <v>8732956.41</v>
      </c>
      <c r="K563" s="105">
        <f>+J563</f>
        <v/>
      </c>
      <c r="L563" s="13" t="inlineStr">
        <is>
          <t>En Espera</t>
        </is>
      </c>
      <c r="M563" s="22" t="n"/>
      <c r="N563" s="24" t="n"/>
      <c r="O563" s="106" t="n"/>
      <c r="P563" s="22" t="n"/>
      <c r="Q563" s="22" t="n"/>
      <c r="R563" s="22" t="n"/>
      <c r="S563" s="105" t="n"/>
      <c r="T563" s="105" t="n"/>
      <c r="U563" s="105">
        <f>+S563*21%</f>
        <v/>
      </c>
      <c r="V563" s="105">
        <f>+S563*3%</f>
        <v/>
      </c>
      <c r="W563" s="105">
        <f>+S563*0.3%</f>
        <v/>
      </c>
      <c r="X563" s="105">
        <f>IF(A563="00-175",S563*0.06,0)</f>
        <v/>
      </c>
      <c r="Y563" s="105" t="n"/>
      <c r="Z563" s="105" t="n"/>
      <c r="AA563" s="105">
        <f>+S563+T563+U563+W563+X563+V563+Y563</f>
        <v/>
      </c>
      <c r="AB563" s="22" t="n"/>
      <c r="AC563" s="105" t="n"/>
      <c r="AD563" s="22" t="n"/>
      <c r="AE563" s="105" t="n"/>
      <c r="AF563" s="22" t="n"/>
      <c r="AG563" s="105" t="n"/>
      <c r="AH563" s="105" t="n"/>
      <c r="AI563" s="105">
        <f>+AC563+AE563+AG563+AH563</f>
        <v/>
      </c>
      <c r="AJ563" s="105">
        <f>+AA563-AI563</f>
        <v/>
      </c>
      <c r="AK563" s="21">
        <f>IF(Q563="ANULADA","N/A",IF(ABS(AJ563)&gt;10,"Pendiente",IF(MAX(AB563,AD563,AF563)=0,"Pendiente",MAX(0,MAX(AB563,AD563,AF563)-O563))))</f>
        <v/>
      </c>
    </row>
    <row r="564" ht="15" customHeight="1">
      <c r="A564" s="22" t="inlineStr">
        <is>
          <t>00-530</t>
        </is>
      </c>
      <c r="B564" s="22" t="inlineStr">
        <is>
          <t>INFRAESTRUCTURA ECONOMICA Y SOCIAL</t>
        </is>
      </c>
      <c r="C564" s="22" t="inlineStr">
        <is>
          <t>Redes y Colectores Cloacales Alderetes - Tucumán</t>
        </is>
      </c>
      <c r="D564" s="13" t="n">
        <v>0</v>
      </c>
      <c r="E564" s="13" t="n">
        <v>35</v>
      </c>
      <c r="F564" s="13" t="inlineStr">
        <is>
          <t>Red Def</t>
        </is>
      </c>
      <c r="G564" s="13" t="inlineStr">
        <is>
          <t>Redet.</t>
        </is>
      </c>
      <c r="H564" s="23" t="n">
        <v>46113</v>
      </c>
      <c r="I564" s="104" t="n"/>
      <c r="J564" s="105" t="n">
        <v>86345470.63</v>
      </c>
      <c r="K564" s="105">
        <f>+J564</f>
        <v/>
      </c>
      <c r="L564" s="13" t="inlineStr">
        <is>
          <t>Validado</t>
        </is>
      </c>
      <c r="M564" s="22" t="n"/>
      <c r="N564" s="24" t="n"/>
      <c r="O564" s="116" t="n"/>
      <c r="P564" s="22" t="n"/>
      <c r="Q564" s="22" t="n"/>
      <c r="R564" s="22" t="n"/>
      <c r="S564" s="105" t="n"/>
      <c r="T564" s="105" t="n"/>
      <c r="U564" s="105" t="n">
        <v>0</v>
      </c>
      <c r="V564" s="105" t="n">
        <v>0</v>
      </c>
      <c r="W564" s="105" t="n">
        <v>0</v>
      </c>
      <c r="X564" s="105" t="n">
        <v>0</v>
      </c>
      <c r="Y564" s="105" t="n">
        <v>0</v>
      </c>
      <c r="Z564" s="105" t="n"/>
      <c r="AA564" s="105">
        <f>+S564+T564+U564+W564+X564</f>
        <v/>
      </c>
      <c r="AB564" s="106" t="n"/>
      <c r="AC564" s="105" t="n"/>
      <c r="AD564" s="106" t="n"/>
      <c r="AE564" s="105" t="n"/>
      <c r="AF564" s="22" t="n"/>
      <c r="AG564" s="105" t="n"/>
      <c r="AH564" s="105" t="n"/>
      <c r="AI564" s="105">
        <f>+AC564+AE564+AG564+AH564</f>
        <v/>
      </c>
      <c r="AJ564" s="105">
        <f>+AA564-AI564</f>
        <v/>
      </c>
      <c r="AK564" s="21">
        <f>IF(Q564="ANULADA","N/A",IF(ABS(AJ564)&gt;10,"Pendiente",IF(MAX(AB564,AD564,AF564)=0,"Pendiente",MAX(0,MAX(AB564,AD564,AF564)-O564))))</f>
        <v/>
      </c>
    </row>
    <row r="565" ht="15" customHeight="1">
      <c r="A565" s="22" t="inlineStr">
        <is>
          <t>00-530</t>
        </is>
      </c>
      <c r="B565" s="22" t="inlineStr">
        <is>
          <t>INFRAESTRUCTURA ECONOMICA Y SOCIAL</t>
        </is>
      </c>
      <c r="C565" s="22" t="inlineStr">
        <is>
          <t>Redes y Colectores Cloacales Alderetes - Tucumán</t>
        </is>
      </c>
      <c r="D565" s="13" t="n">
        <v>0</v>
      </c>
      <c r="E565" s="13" t="n">
        <v>35</v>
      </c>
      <c r="F565" s="13" t="inlineStr">
        <is>
          <t>Basico</t>
        </is>
      </c>
      <c r="G565" s="13" t="inlineStr">
        <is>
          <t>Básico</t>
        </is>
      </c>
      <c r="H565" s="23" t="n">
        <v>46113</v>
      </c>
      <c r="I565" s="104" t="n">
        <v>237537.8</v>
      </c>
      <c r="J565" s="105" t="n">
        <v>2850447.5</v>
      </c>
      <c r="K565" s="105">
        <f>+J565-I565</f>
        <v/>
      </c>
      <c r="L565" s="13" t="inlineStr">
        <is>
          <t>Validado</t>
        </is>
      </c>
      <c r="M565" s="22" t="n"/>
      <c r="N565" s="41" t="n"/>
      <c r="O565" s="116" t="n"/>
      <c r="P565" s="43" t="n"/>
      <c r="Q565" s="22" t="n"/>
      <c r="R565" s="22" t="n"/>
      <c r="S565" s="105" t="n"/>
      <c r="T565" s="105" t="n"/>
      <c r="U565" s="105" t="n">
        <v>0</v>
      </c>
      <c r="V565" s="105">
        <f>IF(N565="FC B",T565,IF(C565="00-175",T565/(1+0.21),T565/(1+0.21+0.03)))</f>
        <v/>
      </c>
      <c r="W565" s="105">
        <f>IF(A565="00-175",U565*0.003,U565*0.025)</f>
        <v/>
      </c>
      <c r="X565" s="105">
        <f>IF(A565="00-175",U565*0.06,0)</f>
        <v/>
      </c>
      <c r="Y565" s="105">
        <f>IF(Q565="FC B",W565,IF(O565="00-175",W565/(1+0.21),W565/(1+0.21+0.03)))</f>
        <v/>
      </c>
      <c r="Z565" s="105" t="n"/>
      <c r="AA565" s="105">
        <f>+S565+T565+U565+W565+X565</f>
        <v/>
      </c>
      <c r="AB565" s="106" t="n"/>
      <c r="AC565" s="105" t="n"/>
      <c r="AD565" s="106" t="n"/>
      <c r="AE565" s="105" t="n"/>
      <c r="AF565" s="39" t="n"/>
      <c r="AG565" s="105" t="n"/>
      <c r="AH565" s="105" t="n"/>
      <c r="AI565" s="105">
        <f>+AC565+AE565+AG565+AH565</f>
        <v/>
      </c>
      <c r="AJ565" s="105">
        <f>+AA565-AI565</f>
        <v/>
      </c>
      <c r="AK565" s="21">
        <f>IF(Q565="ANULADA","N/A",IF(ABS(AJ565)&gt;10,"Pendiente",IF(MAX(AB565,AD565,AF565)=0,"Pendiente",MAX(0,MAX(AB565,AD565,AF565)-O565))))</f>
        <v/>
      </c>
    </row>
    <row r="566" ht="15" customHeight="1">
      <c r="A566" s="22" t="inlineStr">
        <is>
          <t>00-530</t>
        </is>
      </c>
      <c r="B566" s="22" t="inlineStr">
        <is>
          <t>INFRAESTRUCTURA ECONOMICA Y SOCIAL</t>
        </is>
      </c>
      <c r="C566" s="22" t="inlineStr">
        <is>
          <t>Redes y Colectores Cloacales Alderetes - Tucumán</t>
        </is>
      </c>
      <c r="D566" s="13" t="n">
        <v>0</v>
      </c>
      <c r="E566" s="13" t="n">
        <v>36</v>
      </c>
      <c r="F566" s="13" t="inlineStr">
        <is>
          <t>Red Def</t>
        </is>
      </c>
      <c r="G566" s="13" t="inlineStr">
        <is>
          <t>Redet.</t>
        </is>
      </c>
      <c r="H566" s="23" t="n">
        <v>46143</v>
      </c>
      <c r="I566" s="104" t="n"/>
      <c r="J566" s="105" t="n">
        <v>120561588.48</v>
      </c>
      <c r="K566" s="105">
        <f>+J566</f>
        <v/>
      </c>
      <c r="L566" s="13" t="inlineStr">
        <is>
          <t>Validado</t>
        </is>
      </c>
      <c r="M566" s="22" t="n"/>
      <c r="N566" s="24" t="n"/>
      <c r="O566" s="116" t="n"/>
      <c r="P566" s="22" t="n"/>
      <c r="Q566" s="22" t="n"/>
      <c r="R566" s="22" t="n"/>
      <c r="S566" s="105" t="n"/>
      <c r="T566" s="105" t="n"/>
      <c r="U566" s="105" t="n">
        <v>0</v>
      </c>
      <c r="V566" s="105" t="n">
        <v>0</v>
      </c>
      <c r="W566" s="105" t="n">
        <v>0</v>
      </c>
      <c r="X566" s="105" t="n">
        <v>0</v>
      </c>
      <c r="Y566" s="105" t="n">
        <v>0</v>
      </c>
      <c r="Z566" s="105" t="n"/>
      <c r="AA566" s="105">
        <f>+S566+T566+U566+W566+X566</f>
        <v/>
      </c>
      <c r="AB566" s="106" t="n"/>
      <c r="AC566" s="105" t="n"/>
      <c r="AD566" s="106" t="n"/>
      <c r="AE566" s="105" t="n"/>
      <c r="AF566" s="22" t="n"/>
      <c r="AG566" s="105" t="n"/>
      <c r="AH566" s="105" t="n"/>
      <c r="AI566" s="105">
        <f>+AC566+AE566+AG566+AH566</f>
        <v/>
      </c>
      <c r="AJ566" s="105">
        <f>+AA566-AI566</f>
        <v/>
      </c>
      <c r="AK566" s="21">
        <f>IF(Q566="ANULADA","N/A",IF(ABS(AJ566)&gt;10,"Pendiente",IF(MAX(AB566,AD566,AF566)=0,"Pendiente",MAX(0,MAX(AB566,AD566,AF566)-O566))))</f>
        <v/>
      </c>
    </row>
    <row r="567" ht="15" customHeight="1">
      <c r="A567" s="22" t="inlineStr">
        <is>
          <t>00-530</t>
        </is>
      </c>
      <c r="B567" s="22" t="inlineStr">
        <is>
          <t>INFRAESTRUCTURA ECONOMICA Y SOCIAL</t>
        </is>
      </c>
      <c r="C567" s="22" t="inlineStr">
        <is>
          <t>Redes y Colectores Cloacales Alderetes - Tucumán</t>
        </is>
      </c>
      <c r="D567" s="13" t="n">
        <v>0</v>
      </c>
      <c r="E567" s="13" t="n">
        <v>36</v>
      </c>
      <c r="F567" s="13" t="inlineStr">
        <is>
          <t>Basico</t>
        </is>
      </c>
      <c r="G567" s="13" t="inlineStr">
        <is>
          <t>Básico</t>
        </is>
      </c>
      <c r="H567" s="23" t="n">
        <v>46143</v>
      </c>
      <c r="I567" s="104" t="n">
        <v>332926.87</v>
      </c>
      <c r="J567" s="105" t="n">
        <v>3995113.86</v>
      </c>
      <c r="K567" s="105">
        <f>+J567-I567</f>
        <v/>
      </c>
      <c r="L567" s="13" t="inlineStr">
        <is>
          <t>Validado</t>
        </is>
      </c>
      <c r="M567" s="22" t="n"/>
      <c r="N567" s="41" t="n"/>
      <c r="O567" s="116" t="n"/>
      <c r="P567" s="43" t="n"/>
      <c r="Q567" s="22" t="n"/>
      <c r="R567" s="22" t="n"/>
      <c r="S567" s="105" t="n"/>
      <c r="T567" s="105" t="n"/>
      <c r="U567" s="105" t="n">
        <v>0</v>
      </c>
      <c r="V567" s="105">
        <f>IF(N567="FC B",T567,IF(C567="00-175",T567/(1+0.21),T567/(1+0.21+0.03)))</f>
        <v/>
      </c>
      <c r="W567" s="105">
        <f>IF(A567="00-175",U567*0.003,U567*0.025)</f>
        <v/>
      </c>
      <c r="X567" s="105">
        <f>IF(A567="00-175",U567*0.06,0)</f>
        <v/>
      </c>
      <c r="Y567" s="105">
        <f>IF(Q567="FC B",W567,IF(O567="00-175",W567/(1+0.21),W567/(1+0.21+0.03)))</f>
        <v/>
      </c>
      <c r="Z567" s="105" t="n"/>
      <c r="AA567" s="105">
        <f>+S567+T567+U567+W567+X567</f>
        <v/>
      </c>
      <c r="AB567" s="106" t="n"/>
      <c r="AC567" s="105" t="n"/>
      <c r="AD567" s="106" t="n"/>
      <c r="AE567" s="105" t="n"/>
      <c r="AF567" s="39" t="n"/>
      <c r="AG567" s="105" t="n"/>
      <c r="AH567" s="105" t="n"/>
      <c r="AI567" s="105">
        <f>+AC567+AE567+AG567+AH567</f>
        <v/>
      </c>
      <c r="AJ567" s="105">
        <f>+AA567-AI567</f>
        <v/>
      </c>
      <c r="AK567" s="21">
        <f>IF(Q567="ANULADA","N/A",IF(ABS(AJ567)&gt;10,"Pendiente",IF(MAX(AB567,AD567,AF567)=0,"Pendiente",MAX(0,MAX(AB567,AD567,AF567)-O567))))</f>
        <v/>
      </c>
    </row>
  </sheetData>
  <autoFilter ref="A1:AL563">
    <filterColumn colId="0" hiddenButton="0" showButton="1">
      <filters>
        <filter val="00-530"/>
      </filters>
    </filterColumn>
    <sortState ref="A2:AL563">
      <sortCondition ref="A2:A563"/>
    </sortState>
  </autoFilter>
  <conditionalFormatting sqref="A566:AK567">
    <cfRule type="expression" priority="2" dxfId="6">
      <formula>$Q566="ANULADA"</formula>
    </cfRule>
    <cfRule type="expression" priority="3" dxfId="5">
      <formula>LEFT($M566,2)="NC"</formula>
    </cfRule>
    <cfRule type="expression" priority="4" dxfId="4">
      <formula>AND($Q566&lt;&gt;"ANULADA",$AI566&gt;0,$AJ566&lt;-10)</formula>
    </cfRule>
    <cfRule type="expression" priority="5" dxfId="3">
      <formula>AND($Q566&lt;&gt;"ANULADA",$AI566&gt;0,ABS($AJ566)&lt;=10)</formula>
    </cfRule>
    <cfRule type="expression" priority="6" dxfId="2">
      <formula>AND($Q566&lt;&gt;"ANULADA",$AI566&gt;0,$AJ566&gt;10)</formula>
    </cfRule>
    <cfRule type="expression" priority="7" dxfId="1">
      <formula>AND($Q566&lt;&gt;"ANULADA",$AA566&gt;0,OR($AI566=0,$AI566=""))</formula>
    </cfRule>
    <cfRule type="expression" priority="8" dxfId="0">
      <formula>$A566&lt;&gt;""</formula>
    </cfRule>
  </conditionalFormatting>
  <conditionalFormatting sqref="A564:AK565">
    <cfRule type="expression" priority="9" dxfId="6">
      <formula>$Q564="ANULADA"</formula>
    </cfRule>
    <cfRule type="expression" priority="10" dxfId="5">
      <formula>LEFT($M564,2)="NC"</formula>
    </cfRule>
    <cfRule type="expression" priority="11" dxfId="4">
      <formula>AND($Q564&lt;&gt;"ANULADA",$AI564&gt;0,$AJ564&lt;-10)</formula>
    </cfRule>
    <cfRule type="expression" priority="12" dxfId="3">
      <formula>AND($Q564&lt;&gt;"ANULADA",$AI564&gt;0,ABS($AJ564)&lt;=10)</formula>
    </cfRule>
    <cfRule type="expression" priority="13" dxfId="2">
      <formula>AND($Q564&lt;&gt;"ANULADA",$AI564&gt;0,$AJ564&gt;10)</formula>
    </cfRule>
    <cfRule type="expression" priority="14" dxfId="1">
      <formula>AND($Q564&lt;&gt;"ANULADA",$AA564&gt;0,OR($AI564=0,$AI564=""))</formula>
    </cfRule>
    <cfRule type="expression" priority="15" dxfId="0">
      <formula>$A564&lt;&gt;""</formula>
    </cfRule>
  </conditionalFormatting>
  <conditionalFormatting sqref="A560:AK563">
    <cfRule type="expression" priority="16" dxfId="6">
      <formula>$Q560="ANULADA"</formula>
    </cfRule>
    <cfRule type="expression" priority="17" dxfId="5">
      <formula>LEFT($M560,2)="NC"</formula>
    </cfRule>
    <cfRule type="expression" priority="18" dxfId="4">
      <formula>AND($Q560&lt;&gt;"ANULADA",$AI560&gt;0,$AJ560&lt;-10)</formula>
    </cfRule>
    <cfRule type="expression" priority="19" dxfId="3">
      <formula>AND($Q560&lt;&gt;"ANULADA",$AI560&gt;0,ABS($AJ560)&lt;=10)</formula>
    </cfRule>
    <cfRule type="expression" priority="20" dxfId="2">
      <formula>AND($Q560&lt;&gt;"ANULADA",$AI560&gt;0,$AJ560&gt;10)</formula>
    </cfRule>
    <cfRule type="expression" priority="21" dxfId="1">
      <formula>AND($Q560&lt;&gt;"ANULADA",$AA560&gt;0,OR($AI560=0,$AI560=""))</formula>
    </cfRule>
    <cfRule type="expression" priority="22" dxfId="0">
      <formula>$A560&lt;&gt;""</formula>
    </cfRule>
  </conditionalFormatting>
  <conditionalFormatting sqref="A557:G559">
    <cfRule type="expression" priority="23" dxfId="6">
      <formula>$Q557="ANULADA"</formula>
    </cfRule>
    <cfRule type="expression" priority="24" dxfId="5">
      <formula>LEFT($M557,2)="NC"</formula>
    </cfRule>
    <cfRule type="expression" priority="25" dxfId="4">
      <formula>AND($Q557&lt;&gt;"ANULADA",$AI557&gt;0,$AJ557&lt;-10)</formula>
    </cfRule>
    <cfRule type="expression" priority="26" dxfId="3">
      <formula>AND($Q557&lt;&gt;"ANULADA",$AI557&gt;0,ABS($AJ557)&lt;=10)</formula>
    </cfRule>
    <cfRule type="expression" priority="27" dxfId="2">
      <formula>AND($Q557&lt;&gt;"ANULADA",$AI557&gt;0,$AJ557&gt;10)</formula>
    </cfRule>
    <cfRule type="expression" priority="28" dxfId="1">
      <formula>AND($Q557&lt;&gt;"ANULADA",$AA557&gt;0,OR($AI557=0,$AI557=""))</formula>
    </cfRule>
    <cfRule type="expression" priority="29" dxfId="0">
      <formula>$A557&lt;&gt;""</formula>
    </cfRule>
  </conditionalFormatting>
  <conditionalFormatting sqref="A554:D556">
    <cfRule type="expression" priority="30" dxfId="6">
      <formula>$Q554="ANULADA"</formula>
    </cfRule>
    <cfRule type="expression" priority="31" dxfId="5">
      <formula>LEFT($M554,2)="NC"</formula>
    </cfRule>
    <cfRule type="expression" priority="32" dxfId="4">
      <formula>AND($Q554&lt;&gt;"ANULADA",$AI554&gt;0,$AJ554&lt;-10)</formula>
    </cfRule>
    <cfRule type="expression" priority="33" dxfId="3">
      <formula>AND($Q554&lt;&gt;"ANULADA",$AI554&gt;0,ABS($AJ554)&lt;=10)</formula>
    </cfRule>
    <cfRule type="expression" priority="34" dxfId="2">
      <formula>AND($Q554&lt;&gt;"ANULADA",$AI554&gt;0,$AJ554&gt;10)</formula>
    </cfRule>
    <cfRule type="expression" priority="35" dxfId="1">
      <formula>AND($Q554&lt;&gt;"ANULADA",$AA554&gt;0,OR($AI554=0,$AI554=""))</formula>
    </cfRule>
    <cfRule type="expression" priority="36" dxfId="0">
      <formula>$A554&lt;&gt;""</formula>
    </cfRule>
  </conditionalFormatting>
  <conditionalFormatting sqref="I557:AK559">
    <cfRule type="expression" priority="37" dxfId="6">
      <formula>$Q557="ANULADA"</formula>
    </cfRule>
    <cfRule type="expression" priority="38" dxfId="5">
      <formula>LEFT($M557,2)="NC"</formula>
    </cfRule>
    <cfRule type="expression" priority="39" dxfId="4">
      <formula>AND($Q557&lt;&gt;"ANULADA",$AI557&gt;0,$AJ557&lt;-10)</formula>
    </cfRule>
    <cfRule type="expression" priority="40" dxfId="3">
      <formula>AND($Q557&lt;&gt;"ANULADA",$AI557&gt;0,ABS($AJ557)&lt;=10)</formula>
    </cfRule>
    <cfRule type="expression" priority="41" dxfId="2">
      <formula>AND($Q557&lt;&gt;"ANULADA",$AI557&gt;0,$AJ557&gt;10)</formula>
    </cfRule>
    <cfRule type="expression" priority="42" dxfId="1">
      <formula>AND($Q557&lt;&gt;"ANULADA",$AA557&gt;0,OR($AI557=0,$AI557=""))</formula>
    </cfRule>
    <cfRule type="expression" priority="43" dxfId="0">
      <formula>$A557&lt;&gt;""</formula>
    </cfRule>
  </conditionalFormatting>
  <conditionalFormatting sqref="L554:AK556">
    <cfRule type="expression" priority="44" dxfId="6">
      <formula>$Q554="ANULADA"</formula>
    </cfRule>
    <cfRule type="expression" priority="45" dxfId="5">
      <formula>LEFT($M554,2)="NC"</formula>
    </cfRule>
    <cfRule type="expression" priority="46" dxfId="4">
      <formula>AND($Q554&lt;&gt;"ANULADA",$AI554&gt;0,$AJ554&lt;-10)</formula>
    </cfRule>
    <cfRule type="expression" priority="47" dxfId="3">
      <formula>AND($Q554&lt;&gt;"ANULADA",$AI554&gt;0,ABS($AJ554)&lt;=10)</formula>
    </cfRule>
    <cfRule type="expression" priority="48" dxfId="2">
      <formula>AND($Q554&lt;&gt;"ANULADA",$AI554&gt;0,$AJ554&gt;10)</formula>
    </cfRule>
    <cfRule type="expression" priority="49" dxfId="1">
      <formula>AND($Q554&lt;&gt;"ANULADA",$AA554&gt;0,OR($AI554=0,$AI554=""))</formula>
    </cfRule>
    <cfRule type="expression" priority="50" dxfId="0">
      <formula>$A554&lt;&gt;""</formula>
    </cfRule>
  </conditionalFormatting>
  <conditionalFormatting sqref="H556:H559">
    <cfRule type="expression" priority="51" dxfId="6">
      <formula>$Q556="ANULADA"</formula>
    </cfRule>
    <cfRule type="expression" priority="52" dxfId="5">
      <formula>LEFT($M556,2)="NC"</formula>
    </cfRule>
    <cfRule type="expression" priority="53" dxfId="4">
      <formula>AND($Q556&lt;&gt;"ANULADA",$AI556&gt;0,$AJ556&lt;-10)</formula>
    </cfRule>
    <cfRule type="expression" priority="54" dxfId="3">
      <formula>AND($Q556&lt;&gt;"ANULADA",$AI556&gt;0,ABS($AJ556)&lt;=10)</formula>
    </cfRule>
    <cfRule type="expression" priority="55" dxfId="2">
      <formula>AND($Q556&lt;&gt;"ANULADA",$AI556&gt;0,$AJ556&gt;10)</formula>
    </cfRule>
    <cfRule type="expression" priority="56" dxfId="1">
      <formula>AND($Q556&lt;&gt;"ANULADA",$AA556&gt;0,OR($AI556=0,$AI556=""))</formula>
    </cfRule>
    <cfRule type="expression" priority="57" dxfId="0">
      <formula>$A556&lt;&gt;""</formula>
    </cfRule>
  </conditionalFormatting>
  <conditionalFormatting sqref="G556">
    <cfRule type="expression" priority="58" dxfId="6">
      <formula>$Q556="ANULADA"</formula>
    </cfRule>
    <cfRule type="expression" priority="59" dxfId="5">
      <formula>LEFT($M556,2)="NC"</formula>
    </cfRule>
    <cfRule type="expression" priority="60" dxfId="4">
      <formula>AND($Q556&lt;&gt;"ANULADA",$AI556&gt;0,$AJ556&lt;-10)</formula>
    </cfRule>
    <cfRule type="expression" priority="61" dxfId="3">
      <formula>AND($Q556&lt;&gt;"ANULADA",$AI556&gt;0,ABS($AJ556)&lt;=10)</formula>
    </cfRule>
    <cfRule type="expression" priority="62" dxfId="2">
      <formula>AND($Q556&lt;&gt;"ANULADA",$AI556&gt;0,$AJ556&gt;10)</formula>
    </cfRule>
    <cfRule type="expression" priority="63" dxfId="1">
      <formula>AND($Q556&lt;&gt;"ANULADA",$AA556&gt;0,OR($AI556=0,$AI556=""))</formula>
    </cfRule>
    <cfRule type="expression" priority="64" dxfId="0">
      <formula>$A556&lt;&gt;""</formula>
    </cfRule>
  </conditionalFormatting>
  <conditionalFormatting sqref="G555:K555">
    <cfRule type="expression" priority="65" dxfId="6">
      <formula>$Q555="ANULADA"</formula>
    </cfRule>
    <cfRule type="expression" priority="66" dxfId="5">
      <formula>LEFT($M555,2)="NC"</formula>
    </cfRule>
    <cfRule type="expression" priority="67" dxfId="4">
      <formula>AND($Q555&lt;&gt;"ANULADA",$AI555&gt;0,$AJ555&lt;-10)</formula>
    </cfRule>
    <cfRule type="expression" priority="68" dxfId="3">
      <formula>AND($Q555&lt;&gt;"ANULADA",$AI555&gt;0,ABS($AJ555)&lt;=10)</formula>
    </cfRule>
    <cfRule type="expression" priority="69" dxfId="2">
      <formula>AND($Q555&lt;&gt;"ANULADA",$AI555&gt;0,$AJ555&gt;10)</formula>
    </cfRule>
    <cfRule type="expression" priority="70" dxfId="1">
      <formula>AND($Q555&lt;&gt;"ANULADA",$AA555&gt;0,OR($AI555=0,$AI555=""))</formula>
    </cfRule>
    <cfRule type="expression" priority="71" dxfId="0">
      <formula>$A555&lt;&gt;""</formula>
    </cfRule>
  </conditionalFormatting>
  <conditionalFormatting sqref="E555:F556 I556:K556">
    <cfRule type="expression" priority="72" dxfId="6">
      <formula>$Q555="ANULADA"</formula>
    </cfRule>
    <cfRule type="expression" priority="73" dxfId="5">
      <formula>LEFT($M555,2)="NC"</formula>
    </cfRule>
    <cfRule type="expression" priority="74" dxfId="4">
      <formula>AND($Q555&lt;&gt;"ANULADA",$AI555&gt;0,$AJ555&lt;-10)</formula>
    </cfRule>
    <cfRule type="expression" priority="75" dxfId="3">
      <formula>AND($Q555&lt;&gt;"ANULADA",$AI555&gt;0,ABS($AJ555)&lt;=10)</formula>
    </cfRule>
    <cfRule type="expression" priority="76" dxfId="2">
      <formula>AND($Q555&lt;&gt;"ANULADA",$AI555&gt;0,$AJ555&gt;10)</formula>
    </cfRule>
    <cfRule type="expression" priority="77" dxfId="1">
      <formula>AND($Q555&lt;&gt;"ANULADA",$AA555&gt;0,OR($AI555=0,$AI555=""))</formula>
    </cfRule>
    <cfRule type="expression" priority="78" dxfId="0">
      <formula>$A555&lt;&gt;""</formula>
    </cfRule>
  </conditionalFormatting>
  <conditionalFormatting sqref="E554:K554">
    <cfRule type="expression" priority="79" dxfId="6">
      <formula>$Q554="ANULADA"</formula>
    </cfRule>
    <cfRule type="expression" priority="80" dxfId="5">
      <formula>LEFT($M554,2)="NC"</formula>
    </cfRule>
    <cfRule type="expression" priority="81" dxfId="4">
      <formula>AND($Q554&lt;&gt;"ANULADA",$AI554&gt;0,$AJ554&lt;-10)</formula>
    </cfRule>
    <cfRule type="expression" priority="82" dxfId="3">
      <formula>AND($Q554&lt;&gt;"ANULADA",$AI554&gt;0,ABS($AJ554)&lt;=10)</formula>
    </cfRule>
    <cfRule type="expression" priority="83" dxfId="2">
      <formula>AND($Q554&lt;&gt;"ANULADA",$AI554&gt;0,$AJ554&gt;10)</formula>
    </cfRule>
    <cfRule type="expression" priority="84" dxfId="1">
      <formula>AND($Q554&lt;&gt;"ANULADA",$AA554&gt;0,OR($AI554=0,$AI554=""))</formula>
    </cfRule>
    <cfRule type="expression" priority="85" dxfId="0">
      <formula>$A554&lt;&gt;""</formula>
    </cfRule>
  </conditionalFormatting>
  <conditionalFormatting sqref="A2:AK553">
    <cfRule type="expression" priority="86" dxfId="6">
      <formula>$Q2="ANULADA"</formula>
    </cfRule>
    <cfRule type="expression" priority="87" dxfId="5">
      <formula>LEFT($M2,2)="NC"</formula>
    </cfRule>
    <cfRule type="expression" priority="88" dxfId="4">
      <formula>AND($Q2&lt;&gt;"ANULADA",$AI2&gt;0,$AJ2&lt;-10)</formula>
    </cfRule>
    <cfRule type="expression" priority="89" dxfId="3">
      <formula>AND($Q2&lt;&gt;"ANULADA",$AI2&gt;0,ABS($AJ2)&lt;=10)</formula>
    </cfRule>
    <cfRule type="expression" priority="90" dxfId="2">
      <formula>AND($Q2&lt;&gt;"ANULADA",$AI2&gt;0,$AJ2&gt;10)</formula>
    </cfRule>
    <cfRule type="expression" priority="91" dxfId="1">
      <formula>AND($Q2&lt;&gt;"ANULADA",$AA2&gt;0,OR($AI2=0,$AI2=""))</formula>
    </cfRule>
    <cfRule type="expression" priority="92" dxfId="0">
      <formula>$A2&lt;&gt;""</formula>
    </cfRule>
  </conditionalFormatting>
  <dataValidations count="1">
    <dataValidation sqref="L2:L567" showDropDown="0" showInputMessage="1" showErrorMessage="1" allowBlank="1" type="list">
      <formula1>"Validado,En Espera"</formula1>
      <formula2>0</formula2>
    </dataValidation>
  </dataValidations>
  <pageMargins left="0.75" right="0.75" top="1" bottom="1" header="0.511811023622047" footer="0.511811023622047"/>
  <pageSetup orientation="landscape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"/>
  <sheetViews>
    <sheetView zoomScaleNormal="100" workbookViewId="0">
      <pane ySplit="9" topLeftCell="A10" activePane="bottomLeft" state="frozen"/>
      <selection pane="bottomLeft" activeCell="D7" sqref="D7"/>
    </sheetView>
  </sheetViews>
  <sheetFormatPr baseColWidth="8" defaultColWidth="10.85546875" defaultRowHeight="14.25"/>
  <cols>
    <col width="25.42578125" customWidth="1" min="1" max="1"/>
    <col width="18.140625" customWidth="1" min="2" max="2"/>
    <col width="20" customWidth="1" min="3" max="3"/>
    <col width="14.5703125" customWidth="1" min="4" max="4"/>
    <col width="18.140625" customWidth="1" min="5" max="6"/>
    <col width="12.7109375" customWidth="1" min="7" max="7"/>
    <col width="23.5703125" customWidth="1" min="8" max="8"/>
    <col width="14.5703125" customWidth="1" min="9" max="9"/>
    <col width="23.5703125" customWidth="1" min="10" max="10"/>
    <col width="25.42578125" customWidth="1" min="11" max="11"/>
    <col width="22.7109375" customWidth="1" min="12" max="12"/>
  </cols>
  <sheetData>
    <row r="1" ht="31.5" customHeight="1">
      <c r="A1" s="50" t="inlineStr">
        <is>
          <t>CÁLCULO DE INTERESES POR MORA — Cláusulas 14.7 / 14.8 FIDIC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0" t="n"/>
      <c r="K1" s="50" t="n"/>
    </row>
    <row r="2" ht="15.75" customHeight="1">
      <c r="A2" s="51" t="inlineStr">
        <is>
          <t>Interés = Monto × (Tasa+3%) × (Días mora / 365)</t>
        </is>
      </c>
      <c r="B2" s="51" t="n"/>
      <c r="C2" s="51" t="n"/>
      <c r="D2" s="51" t="n"/>
      <c r="E2" s="51" t="n"/>
      <c r="F2" s="51" t="n"/>
      <c r="G2" s="51" t="n"/>
      <c r="H2" s="51" t="n"/>
      <c r="I2" s="51" t="n"/>
      <c r="J2" s="51" t="n"/>
      <c r="K2" s="51" t="n"/>
    </row>
    <row r="3" ht="7.5" customHeight="1"/>
    <row r="4" ht="18.75" customHeight="1">
      <c r="A4" s="52" t="inlineStr">
        <is>
          <t>Fuente</t>
        </is>
      </c>
      <c r="B4" s="53" t="inlineStr">
        <is>
          <t>https://www.bna.com.ar/home/informacionalusuariofinanciero</t>
        </is>
      </c>
    </row>
    <row r="5" ht="14.25" customHeight="1">
      <c r="A5" s="54" t="inlineStr">
        <is>
          <t>Tasa anual de interés (Cl. 14.8)</t>
        </is>
      </c>
      <c r="B5" s="55" t="n">
        <v>0.249</v>
      </c>
      <c r="C5" s="56" t="inlineStr">
        <is>
          <t>← TNA  - Tasa Nominal Anual Vencida con capitalización cada 30 días = T.N.A. (30 días)</t>
        </is>
      </c>
    </row>
    <row r="6" ht="14.25" customHeight="1">
      <c r="A6" s="54" t="inlineStr">
        <is>
          <t>Plazo contractual de pago (días)</t>
        </is>
      </c>
      <c r="B6" s="57" t="n">
        <v>60</v>
      </c>
      <c r="C6" s="56" t="inlineStr">
        <is>
          <t>← Días desde emisión de la factura</t>
        </is>
      </c>
    </row>
    <row r="7" ht="14.25" customHeight="1">
      <c r="A7" s="58" t="inlineStr">
        <is>
          <t>Fecha de corte</t>
        </is>
      </c>
      <c r="B7" s="119">
        <f>TODAY()</f>
        <v/>
      </c>
    </row>
    <row r="8" ht="9.75" customHeight="1"/>
    <row r="9" ht="42" customHeight="1">
      <c r="A9" s="60" t="inlineStr">
        <is>
          <t>N° Factura</t>
        </is>
      </c>
      <c r="B9" s="60" t="inlineStr">
        <is>
          <t>Fecha Certificado</t>
        </is>
      </c>
      <c r="C9" s="60" t="inlineStr">
        <is>
          <t>Fecha Emisión
Factura</t>
        </is>
      </c>
      <c r="D9" s="60" t="inlineStr">
        <is>
          <t>Plazo Contractual
(días)</t>
        </is>
      </c>
      <c r="E9" s="60" t="inlineStr">
        <is>
          <t>Fecha Venc.
de Pago</t>
        </is>
      </c>
      <c r="F9" s="60" t="inlineStr">
        <is>
          <t>Fecha Pago
Efectivo</t>
        </is>
      </c>
      <c r="G9" s="60" t="inlineStr">
        <is>
          <t>Días de
Mora</t>
        </is>
      </c>
      <c r="H9" s="60" t="inlineStr">
        <is>
          <t>Monto
Certificado y facturado ($)</t>
        </is>
      </c>
      <c r="I9" s="60" t="inlineStr">
        <is>
          <t>Tasa Anual
de Interés + 3%</t>
        </is>
      </c>
      <c r="J9" s="60" t="inlineStr">
        <is>
          <t>Interés por
Mora ($)</t>
        </is>
      </c>
      <c r="K9" s="60" t="inlineStr">
        <is>
          <t>Monto Total
a Pagar ($)</t>
        </is>
      </c>
    </row>
    <row r="10" ht="14.25" customHeight="1">
      <c r="A10" s="61" t="n">
        <v>1998</v>
      </c>
      <c r="B10" s="120" t="n">
        <v>46035</v>
      </c>
      <c r="C10" s="121" t="n">
        <v>46035</v>
      </c>
      <c r="D10" s="61">
        <f>$B$6</f>
        <v/>
      </c>
      <c r="E10" s="120">
        <f>C10+D10</f>
        <v/>
      </c>
      <c r="F10" s="122">
        <f>""</f>
        <v/>
      </c>
      <c r="G10" s="61">
        <f>IF(F10="",MAX(0,$B$7-E10),MAX(0,F10-E10))</f>
        <v/>
      </c>
      <c r="H10" s="65" t="n">
        <v>50402510.51</v>
      </c>
      <c r="I10" s="66">
        <f>$B$5+3%</f>
        <v/>
      </c>
      <c r="J10" s="67">
        <f>H10*I10*(G10/365)</f>
        <v/>
      </c>
      <c r="K10" s="68">
        <f>H10+J10</f>
        <v/>
      </c>
    </row>
    <row r="11" ht="14.25" customHeight="1">
      <c r="A11" s="69" t="n">
        <v>1999</v>
      </c>
      <c r="B11" s="123" t="n">
        <v>46035</v>
      </c>
      <c r="C11" s="124" t="n">
        <v>46035</v>
      </c>
      <c r="D11" s="69">
        <f>$B$6</f>
        <v/>
      </c>
      <c r="E11" s="123">
        <f>C11+D11</f>
        <v/>
      </c>
      <c r="F11" s="122">
        <f>""</f>
        <v/>
      </c>
      <c r="G11" s="69">
        <f>IF(F11="",MAX(0,$B$7-E11),MAX(0,F11-E11))</f>
        <v/>
      </c>
      <c r="H11" s="72" t="n">
        <v>677271.96</v>
      </c>
      <c r="I11" s="66">
        <f>$B$5+3%</f>
        <v/>
      </c>
      <c r="J11" s="73">
        <f>H11*I11*(G11/365)</f>
        <v/>
      </c>
      <c r="K11" s="74">
        <f>H11+J11</f>
        <v/>
      </c>
    </row>
    <row r="12" ht="18" customHeight="1">
      <c r="A12" s="61" t="n">
        <v>2000</v>
      </c>
      <c r="B12" s="120" t="n">
        <v>46035</v>
      </c>
      <c r="C12" s="121" t="n">
        <v>46035</v>
      </c>
      <c r="D12" s="61">
        <f>$B$6</f>
        <v/>
      </c>
      <c r="E12" s="120">
        <f>C12+D12</f>
        <v/>
      </c>
      <c r="F12" s="122">
        <f>""</f>
        <v/>
      </c>
      <c r="G12" s="61">
        <f>IF(F12="",MAX(0,$B$7-E12),MAX(0,F12-E12))</f>
        <v/>
      </c>
      <c r="H12" s="65" t="n">
        <v>17699825.4</v>
      </c>
      <c r="I12" s="66">
        <f>$B$5+3%</f>
        <v/>
      </c>
      <c r="J12" s="67">
        <f>H12*I12*(G12/365)</f>
        <v/>
      </c>
      <c r="K12" s="68">
        <f>H12+J12</f>
        <v/>
      </c>
    </row>
    <row r="13" ht="14.25" customHeight="1">
      <c r="A13" s="69" t="n">
        <v>2001</v>
      </c>
      <c r="B13" s="123" t="n">
        <v>46035</v>
      </c>
      <c r="C13" s="124" t="n">
        <v>46035</v>
      </c>
      <c r="D13" s="69">
        <f>$B$6</f>
        <v/>
      </c>
      <c r="E13" s="123">
        <f>C13+D13</f>
        <v/>
      </c>
      <c r="F13" s="122">
        <f>""</f>
        <v/>
      </c>
      <c r="G13" s="69">
        <f>IF(F13="",MAX(0,$B$7-E13),MAX(0,F13-E13))</f>
        <v/>
      </c>
      <c r="H13" s="72" t="n">
        <v>1015907.94</v>
      </c>
      <c r="I13" s="66">
        <f>$B$5+3%</f>
        <v/>
      </c>
      <c r="J13" s="73">
        <f>H13*I13*(G13/365)</f>
        <v/>
      </c>
      <c r="K13" s="74">
        <f>H13+J13</f>
        <v/>
      </c>
    </row>
    <row r="14" ht="14.25" customHeight="1">
      <c r="A14" s="61" t="n">
        <v>2002</v>
      </c>
      <c r="B14" s="120" t="n">
        <v>46035</v>
      </c>
      <c r="C14" s="121" t="n">
        <v>46035</v>
      </c>
      <c r="D14" s="61">
        <f>$B$6</f>
        <v/>
      </c>
      <c r="E14" s="120">
        <f>C14+D14</f>
        <v/>
      </c>
      <c r="F14" s="122">
        <f>""</f>
        <v/>
      </c>
      <c r="G14" s="61">
        <f>IF(F14="",MAX(0,$B$7-E14),MAX(0,F14-E14))</f>
        <v/>
      </c>
      <c r="H14" s="65" t="n">
        <v>27253875.19</v>
      </c>
      <c r="I14" s="66">
        <f>$B$5+3%</f>
        <v/>
      </c>
      <c r="J14" s="67">
        <f>H14*I14*(G14/365)</f>
        <v/>
      </c>
      <c r="K14" s="68">
        <f>H14+J14</f>
        <v/>
      </c>
    </row>
    <row r="15" ht="14.25" customHeight="1">
      <c r="A15" s="69" t="n">
        <v>2003</v>
      </c>
      <c r="B15" s="123" t="n">
        <v>46035</v>
      </c>
      <c r="C15" s="124" t="n">
        <v>46035</v>
      </c>
      <c r="D15" s="69">
        <f>$B$6</f>
        <v/>
      </c>
      <c r="E15" s="123">
        <f>C15+D15</f>
        <v/>
      </c>
      <c r="F15" s="122">
        <f>""</f>
        <v/>
      </c>
      <c r="G15" s="69">
        <f>IF(F15="",MAX(0,$B$7-E15),MAX(0,F15-E15))</f>
        <v/>
      </c>
      <c r="H15" s="72" t="n">
        <v>1015907.94</v>
      </c>
      <c r="I15" s="66">
        <f>$B$5+3%</f>
        <v/>
      </c>
      <c r="J15" s="73">
        <f>H15*I15*(G15/365)</f>
        <v/>
      </c>
      <c r="K15" s="74">
        <f>H15+J15</f>
        <v/>
      </c>
    </row>
    <row r="16" ht="14.25" customHeight="1">
      <c r="A16" s="61" t="n">
        <v>2004</v>
      </c>
      <c r="B16" s="120" t="n">
        <v>46035</v>
      </c>
      <c r="C16" s="121" t="n">
        <v>46035</v>
      </c>
      <c r="D16" s="61">
        <f>$B$6</f>
        <v/>
      </c>
      <c r="E16" s="120">
        <f>C16+D16</f>
        <v/>
      </c>
      <c r="F16" s="122">
        <f>""</f>
        <v/>
      </c>
      <c r="G16" s="61">
        <f>IF(F16="",MAX(0,$B$7-E16),MAX(0,F16-E16))</f>
        <v/>
      </c>
      <c r="H16" s="65" t="n">
        <v>28627721.36</v>
      </c>
      <c r="I16" s="66">
        <f>$B$5+3%</f>
        <v/>
      </c>
      <c r="J16" s="67">
        <f>H16*I16*(G16/365)</f>
        <v/>
      </c>
      <c r="K16" s="68">
        <f>H16+J16</f>
        <v/>
      </c>
    </row>
    <row r="17" ht="14.25" customHeight="1">
      <c r="A17" s="69" t="n">
        <v>2005</v>
      </c>
      <c r="B17" s="123" t="n">
        <v>46035</v>
      </c>
      <c r="C17" s="124" t="n">
        <v>46035</v>
      </c>
      <c r="D17" s="69">
        <f>$B$6</f>
        <v/>
      </c>
      <c r="E17" s="123">
        <f>C17+D17</f>
        <v/>
      </c>
      <c r="F17" s="122">
        <f>""</f>
        <v/>
      </c>
      <c r="G17" s="69">
        <f>IF(F17="",MAX(0,$B$7-E17),MAX(0,F17-E17))</f>
        <v/>
      </c>
      <c r="H17" s="72" t="n">
        <v>238400.46</v>
      </c>
      <c r="I17" s="66">
        <f>$B$5+3%</f>
        <v/>
      </c>
      <c r="J17" s="73">
        <f>H17*I17*(G17/365)</f>
        <v/>
      </c>
      <c r="K17" s="74">
        <f>H17+J17</f>
        <v/>
      </c>
    </row>
    <row r="18" ht="14.25" customHeight="1">
      <c r="A18" s="61" t="n">
        <v>2006</v>
      </c>
      <c r="B18" s="120" t="n">
        <v>46035</v>
      </c>
      <c r="C18" s="121" t="n">
        <v>46035</v>
      </c>
      <c r="D18" s="61">
        <f>$B$6</f>
        <v/>
      </c>
      <c r="E18" s="120">
        <f>C18+D18</f>
        <v/>
      </c>
      <c r="F18" s="122">
        <f>""</f>
        <v/>
      </c>
      <c r="G18" s="61">
        <f>IF(F18="",MAX(0,$B$7-E18),MAX(0,F18-E18))</f>
        <v/>
      </c>
      <c r="H18" s="65" t="n">
        <v>6758414.64</v>
      </c>
      <c r="I18" s="66">
        <f>$B$5+3%</f>
        <v/>
      </c>
      <c r="J18" s="67">
        <f>H18*I18*(G18/365)</f>
        <v/>
      </c>
      <c r="K18" s="68">
        <f>H18+J18</f>
        <v/>
      </c>
    </row>
    <row r="19" ht="14.25" customHeight="1">
      <c r="A19" s="69" t="n">
        <v>2008</v>
      </c>
      <c r="B19" s="123" t="n">
        <v>46051</v>
      </c>
      <c r="C19" s="124" t="n">
        <v>46051</v>
      </c>
      <c r="D19" s="69">
        <f>$B$6</f>
        <v/>
      </c>
      <c r="E19" s="123">
        <f>C19+D19</f>
        <v/>
      </c>
      <c r="F19" s="122">
        <f>""</f>
        <v/>
      </c>
      <c r="G19" s="69">
        <f>IF(F19="",MAX(0,$B$7-E19),MAX(0,F19-E19))</f>
        <v/>
      </c>
      <c r="H19" s="72" t="n">
        <v>444448.23</v>
      </c>
      <c r="I19" s="66">
        <f>$B$5+3%</f>
        <v/>
      </c>
      <c r="J19" s="73">
        <f>H19*I19*(G19/365)</f>
        <v/>
      </c>
      <c r="K19" s="74">
        <f>H19+J19</f>
        <v/>
      </c>
    </row>
    <row r="20" ht="14.25" customHeight="1">
      <c r="A20" s="61" t="n">
        <v>2010</v>
      </c>
      <c r="B20" s="120" t="n">
        <v>46051</v>
      </c>
      <c r="C20" s="121" t="n">
        <v>46051</v>
      </c>
      <c r="D20" s="61">
        <f>$B$6</f>
        <v/>
      </c>
      <c r="E20" s="120">
        <f>C20+D20</f>
        <v/>
      </c>
      <c r="F20" s="122">
        <f>""</f>
        <v/>
      </c>
      <c r="G20" s="61">
        <f>IF(F20="",MAX(0,$B$7-E20),MAX(0,F20-E20))</f>
        <v/>
      </c>
      <c r="H20" s="65" t="n">
        <v>12832109.38</v>
      </c>
      <c r="I20" s="66">
        <f>$B$5+3%</f>
        <v/>
      </c>
      <c r="J20" s="67">
        <f>H20*I20*(G20/365)</f>
        <v/>
      </c>
      <c r="K20" s="68">
        <f>H20+J20</f>
        <v/>
      </c>
    </row>
    <row r="21" ht="14.25" customHeight="1">
      <c r="A21" s="69" t="n">
        <v>2011</v>
      </c>
      <c r="B21" s="123" t="n">
        <v>46056</v>
      </c>
      <c r="C21" s="124" t="n">
        <v>46056</v>
      </c>
      <c r="D21" s="69">
        <f>$B$6</f>
        <v/>
      </c>
      <c r="E21" s="123">
        <f>C21+D21</f>
        <v/>
      </c>
      <c r="F21" s="122">
        <f>""</f>
        <v/>
      </c>
      <c r="G21" s="69">
        <f>IF(F21="",MAX(0,$B$7-E21),MAX(0,F21-E21))</f>
        <v/>
      </c>
      <c r="H21" s="72" t="n">
        <v>184056.25</v>
      </c>
      <c r="I21" s="66">
        <f>$B$5+3%</f>
        <v/>
      </c>
      <c r="J21" s="73">
        <f>H21*I21*(G21/365)</f>
        <v/>
      </c>
      <c r="K21" s="74">
        <f>H21+J21</f>
        <v/>
      </c>
    </row>
    <row r="22" ht="14.25" customHeight="1">
      <c r="A22" s="61" t="n">
        <v>2012</v>
      </c>
      <c r="B22" s="120" t="n">
        <v>46056</v>
      </c>
      <c r="C22" s="121" t="n">
        <v>46056</v>
      </c>
      <c r="D22" s="61">
        <f>$B$6</f>
        <v/>
      </c>
      <c r="E22" s="120">
        <f>C22+D22</f>
        <v/>
      </c>
      <c r="F22" s="122">
        <f>""</f>
        <v/>
      </c>
      <c r="G22" s="61">
        <f>IF(F22="",MAX(0,$B$7-E22),MAX(0,F22-E22))</f>
        <v/>
      </c>
      <c r="H22" s="65" t="n">
        <v>5425916.78</v>
      </c>
      <c r="I22" s="66">
        <f>$B$5+3%</f>
        <v/>
      </c>
      <c r="J22" s="67">
        <f>H22*I22*(G22/365)</f>
        <v/>
      </c>
      <c r="K22" s="68">
        <f>H22+J22</f>
        <v/>
      </c>
    </row>
    <row r="23" ht="14.25" customHeight="1">
      <c r="A23" s="69" t="n">
        <v>2013</v>
      </c>
      <c r="B23" s="123" t="n">
        <v>46056</v>
      </c>
      <c r="C23" s="124" t="n">
        <v>46056</v>
      </c>
      <c r="D23" s="69">
        <f>$B$6</f>
        <v/>
      </c>
      <c r="E23" s="123">
        <f>C23+D23</f>
        <v/>
      </c>
      <c r="F23" s="122">
        <f>""</f>
        <v/>
      </c>
      <c r="G23" s="69">
        <f>IF(F23="",MAX(0,$B$7-E23),MAX(0,F23-E23))</f>
        <v/>
      </c>
      <c r="H23" s="72" t="n">
        <v>0</v>
      </c>
      <c r="I23" s="66">
        <f>$B$5+3%</f>
        <v/>
      </c>
      <c r="J23" s="73">
        <f>H23*I23*(G23/365)</f>
        <v/>
      </c>
      <c r="K23" s="74">
        <f>H23+J23</f>
        <v/>
      </c>
    </row>
    <row r="24" ht="14.25" customHeight="1">
      <c r="A24" s="61" t="n">
        <v>2014</v>
      </c>
      <c r="B24" s="120" t="n">
        <v>46059</v>
      </c>
      <c r="C24" s="121" t="n">
        <v>46059</v>
      </c>
      <c r="D24" s="61">
        <f>$B$6</f>
        <v/>
      </c>
      <c r="E24" s="120">
        <f>C24+D24</f>
        <v/>
      </c>
      <c r="F24" s="122">
        <f>""</f>
        <v/>
      </c>
      <c r="G24" s="61">
        <f>IF(F24="",MAX(0,$B$7-E24),MAX(0,F24-E24))</f>
        <v/>
      </c>
      <c r="H24" s="65" t="n">
        <v>0</v>
      </c>
      <c r="I24" s="66">
        <f>$B$5+3%</f>
        <v/>
      </c>
      <c r="J24" s="67">
        <f>H24*I24*(G24/365)</f>
        <v/>
      </c>
      <c r="K24" s="68">
        <f>H24+J24</f>
        <v/>
      </c>
    </row>
    <row r="25" ht="14.25" customHeight="1">
      <c r="A25" s="69" t="n">
        <v>2015</v>
      </c>
      <c r="B25" s="123" t="n">
        <v>46098</v>
      </c>
      <c r="C25" s="124" t="n">
        <v>46098</v>
      </c>
      <c r="D25" s="69">
        <f>$B$6</f>
        <v/>
      </c>
      <c r="E25" s="123">
        <f>C25+D25</f>
        <v/>
      </c>
      <c r="F25" s="122">
        <f>""</f>
        <v/>
      </c>
      <c r="G25" s="69">
        <f>IF(F25="",MAX(0,$B$7-E25),MAX(0,F25-E25))</f>
        <v/>
      </c>
      <c r="H25" s="72" t="n">
        <v>203181.59</v>
      </c>
      <c r="I25" s="66">
        <f>$B$5+3%</f>
        <v/>
      </c>
      <c r="J25" s="73">
        <f>H25*I25*(G25/365)</f>
        <v/>
      </c>
      <c r="K25" s="74">
        <f>H25+J25</f>
        <v/>
      </c>
    </row>
    <row r="26" ht="14.25" customHeight="1">
      <c r="A26" s="61" t="n">
        <v>2016</v>
      </c>
      <c r="B26" s="120" t="n">
        <v>46098</v>
      </c>
      <c r="C26" s="121" t="n">
        <v>46098</v>
      </c>
      <c r="D26" s="61">
        <f>$B$6</f>
        <v/>
      </c>
      <c r="E26" s="120">
        <f>C26+D26</f>
        <v/>
      </c>
      <c r="F26" s="122">
        <f>""</f>
        <v/>
      </c>
      <c r="G26" s="61">
        <f>IF(F26="",MAX(0,$B$7-E26),MAX(0,F26-E26))</f>
        <v/>
      </c>
      <c r="H26" s="65" t="n">
        <v>0</v>
      </c>
      <c r="I26" s="66">
        <f>$B$5+3%</f>
        <v/>
      </c>
      <c r="J26" s="67">
        <f>H26*I26*(G26/365)</f>
        <v/>
      </c>
      <c r="K26" s="68">
        <f>H26+J26</f>
        <v/>
      </c>
    </row>
    <row r="27" ht="14.25" customHeight="1">
      <c r="A27" s="69" t="n">
        <v>2017</v>
      </c>
      <c r="B27" s="123" t="n">
        <v>46098</v>
      </c>
      <c r="C27" s="124" t="n">
        <v>46098</v>
      </c>
      <c r="D27" s="69">
        <f>$B$6</f>
        <v/>
      </c>
      <c r="E27" s="123">
        <f>C27+D27</f>
        <v/>
      </c>
      <c r="F27" s="122">
        <f>""</f>
        <v/>
      </c>
      <c r="G27" s="69">
        <f>IF(F27="",MAX(0,$B$7-E27),MAX(0,F27-E27))</f>
        <v/>
      </c>
      <c r="H27" s="72" t="n">
        <v>6266255.63</v>
      </c>
      <c r="I27" s="66">
        <f>$B$5+3%</f>
        <v/>
      </c>
      <c r="J27" s="73">
        <f>H27*I27*(G27/365)</f>
        <v/>
      </c>
      <c r="K27" s="74">
        <f>H27+J27</f>
        <v/>
      </c>
    </row>
    <row r="28" ht="14.25" customHeight="1">
      <c r="A28" s="61" t="n">
        <v>2018</v>
      </c>
      <c r="B28" s="120" t="n">
        <v>46122</v>
      </c>
      <c r="C28" s="121" t="n">
        <v>46122</v>
      </c>
      <c r="D28" s="61">
        <f>$B$6</f>
        <v/>
      </c>
      <c r="E28" s="120">
        <f>C28+D28</f>
        <v/>
      </c>
      <c r="F28" s="122">
        <f>""</f>
        <v/>
      </c>
      <c r="G28" s="61">
        <f>IF(F28="",MAX(0,$B$7-E28),MAX(0,F28-E28))</f>
        <v/>
      </c>
      <c r="H28" s="65" t="n">
        <v>633024.04</v>
      </c>
      <c r="I28" s="66">
        <f>$B$5+3%</f>
        <v/>
      </c>
      <c r="J28" s="67">
        <f>H28*I28*(G28/365)</f>
        <v/>
      </c>
      <c r="K28" s="68">
        <f>H28+J28</f>
        <v/>
      </c>
    </row>
    <row r="29" ht="14.25" customHeight="1">
      <c r="A29" s="69" t="n">
        <v>2019</v>
      </c>
      <c r="B29" s="123" t="n">
        <v>46122</v>
      </c>
      <c r="C29" s="124" t="n">
        <v>46122</v>
      </c>
      <c r="D29" s="69">
        <f>$B$6</f>
        <v/>
      </c>
      <c r="E29" s="123">
        <f>C29+D29</f>
        <v/>
      </c>
      <c r="F29" s="122">
        <f>""</f>
        <v/>
      </c>
      <c r="G29" s="69">
        <f>IF(F29="",MAX(0,$B$7-E29),MAX(0,F29-E29))</f>
        <v/>
      </c>
      <c r="H29" s="72" t="n">
        <v>19702240.1</v>
      </c>
      <c r="I29" s="75">
        <f>$B$5+3%</f>
        <v/>
      </c>
      <c r="J29" s="73">
        <f>H29*I29*(G29/365)</f>
        <v/>
      </c>
      <c r="K29" s="74">
        <f>H29+J29</f>
        <v/>
      </c>
    </row>
    <row r="30" ht="14.25" customHeight="1">
      <c r="A30" s="61" t="n">
        <v>2021</v>
      </c>
      <c r="B30" s="120" t="n">
        <v>46122</v>
      </c>
      <c r="C30" s="121" t="n">
        <v>46122</v>
      </c>
      <c r="D30" s="61">
        <f>$B$6</f>
        <v/>
      </c>
      <c r="E30" s="120">
        <f>C30+D30</f>
        <v/>
      </c>
      <c r="F30" s="122">
        <f>""</f>
        <v/>
      </c>
      <c r="G30" s="61">
        <f>IF(F30="",MAX(0,$B$7-E30),MAX(0,F30-E30))</f>
        <v/>
      </c>
      <c r="H30" s="65" t="n">
        <v>95946.87</v>
      </c>
      <c r="I30" s="66">
        <f>$B$5+3%</f>
        <v/>
      </c>
      <c r="J30" s="67">
        <f>H30*I30*(G30/365)</f>
        <v/>
      </c>
      <c r="K30" s="68">
        <f>H30+J30</f>
        <v/>
      </c>
    </row>
    <row r="31" ht="14.25" customHeight="1">
      <c r="A31" s="61" t="n">
        <v>2024</v>
      </c>
      <c r="B31" s="120" t="n">
        <v>46142</v>
      </c>
      <c r="C31" s="121" t="n">
        <v>46142</v>
      </c>
      <c r="D31" s="61">
        <f>$B$6</f>
        <v/>
      </c>
      <c r="E31" s="120">
        <f>C31+D31</f>
        <v/>
      </c>
      <c r="F31" s="122">
        <f>""</f>
        <v/>
      </c>
      <c r="G31" s="61">
        <f>IF(F31="",MAX(0,$B$7-E31),MAX(0,F31-E31))</f>
        <v/>
      </c>
      <c r="H31" s="65" t="n">
        <v>131593300.43</v>
      </c>
      <c r="I31" s="66">
        <f>$B$5+3%</f>
        <v/>
      </c>
      <c r="J31" s="67">
        <f>H31*I31*(G31/365)</f>
        <v/>
      </c>
      <c r="K31" s="68">
        <f>H31+J31</f>
        <v/>
      </c>
    </row>
    <row r="32" ht="14.25" customHeight="1">
      <c r="A32" s="76" t="inlineStr">
        <is>
          <t>TOTAL</t>
        </is>
      </c>
      <c r="B32" s="76" t="n"/>
      <c r="C32" s="76" t="n"/>
      <c r="D32" s="76" t="n"/>
      <c r="E32" s="76" t="n"/>
      <c r="F32" s="76" t="n"/>
      <c r="G32" s="77">
        <f>IF(COUNTA(F10:F31)&gt;0,AVERAGE(G10:G31),AVERAGE(G10:G31))</f>
        <v/>
      </c>
      <c r="H32" s="78">
        <f>SUBTOTAL(109,H10:H31)</f>
        <v/>
      </c>
      <c r="I32" s="76" t="n"/>
      <c r="J32" s="78">
        <f>SUBTOTAL(109,J10:J31)</f>
        <v/>
      </c>
      <c r="K32" s="78">
        <f>SUBTOTAL(109,K10:K31)</f>
        <v/>
      </c>
    </row>
    <row r="34" ht="14.25" customHeight="1">
      <c r="A34" s="79" t="inlineStr">
        <is>
          <t>RESUMEN</t>
        </is>
      </c>
    </row>
    <row r="35" ht="15" customHeight="1">
      <c r="A35" s="54" t="inlineStr">
        <is>
          <t>Total Monto Certificados</t>
        </is>
      </c>
      <c r="B35" s="80">
        <f>H32</f>
        <v/>
      </c>
    </row>
    <row r="36" ht="15" customHeight="1">
      <c r="A36" s="54" t="inlineStr">
        <is>
          <t>Total Interés por Mora (Cl. 14.8)</t>
        </is>
      </c>
      <c r="B36" s="80">
        <f>J32</f>
        <v/>
      </c>
    </row>
    <row r="37" ht="15" customHeight="1">
      <c r="A37" s="81" t="inlineStr">
        <is>
          <t>Total a Reclamar</t>
        </is>
      </c>
      <c r="B37" s="82">
        <f>B35+B36</f>
        <v/>
      </c>
    </row>
    <row r="38" ht="14.25" customHeight="1">
      <c r="A38" s="58" t="inlineStr">
        <is>
          <t>Certificados en mora</t>
        </is>
      </c>
      <c r="B38" s="83">
        <f>COUNTIF(G10:G31,"&gt;"&amp;0)</f>
        <v/>
      </c>
    </row>
    <row r="39" ht="14.25" customHeight="1">
      <c r="A39" s="58" t="inlineStr">
        <is>
          <t>Demora promedio (días)</t>
        </is>
      </c>
      <c r="B39" s="84">
        <f>G32</f>
        <v/>
      </c>
    </row>
  </sheetData>
  <hyperlinks>
    <hyperlink xmlns:r="http://schemas.openxmlformats.org/officeDocument/2006/relationships" ref="B4" r:id="rId1"/>
  </hyperlinks>
  <pageMargins left="0.7" right="0.7" top="0.75" bottom="0.75" header="0.511811023622047" footer="0.511811023622047"/>
  <pageSetup orientation="portrait" horizontalDpi="300" verticalDpi="300"/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zoomScaleNormal="100" workbookViewId="0">
      <pane ySplit="1" topLeftCell="A2" activePane="bottomLeft" state="frozen"/>
      <selection pane="bottomLeft" activeCell="B12" sqref="B12"/>
    </sheetView>
  </sheetViews>
  <sheetFormatPr baseColWidth="8" defaultColWidth="11.42578125" defaultRowHeight="14.25"/>
  <cols>
    <col width="14.5703125" customWidth="1" min="1" max="1"/>
    <col width="50.85546875" customWidth="1" min="2" max="2"/>
    <col width="32.7109375" customWidth="1" min="3" max="3"/>
    <col width="16.42578125" customWidth="1" min="4" max="4"/>
    <col width="23.5703125" customWidth="1" min="5" max="5"/>
    <col width="21.85546875" customWidth="1" min="6" max="6"/>
    <col width="25.42578125" customWidth="1" min="7" max="7"/>
    <col width="23.140625" customWidth="1" min="8" max="8"/>
    <col width="25.42578125" customWidth="1" min="9" max="10"/>
    <col width="20" customWidth="1" style="85" min="11" max="11"/>
  </cols>
  <sheetData>
    <row r="1" ht="14.25" customHeight="1">
      <c r="A1" s="86" t="inlineStr">
        <is>
          <t>UOP</t>
        </is>
      </c>
      <c r="B1" s="86" t="inlineStr">
        <is>
          <t>Descripción UOP</t>
        </is>
      </c>
      <c r="C1" s="86" t="inlineStr">
        <is>
          <t>Tipo Anticipo</t>
        </is>
      </c>
      <c r="D1" s="86" t="inlineStr">
        <is>
          <t>Nro Anticipo</t>
        </is>
      </c>
      <c r="E1" s="86" t="inlineStr">
        <is>
          <t>Factura</t>
        </is>
      </c>
      <c r="F1" s="86" t="inlineStr">
        <is>
          <t>Fecha Desembolso</t>
        </is>
      </c>
      <c r="G1" s="125" t="inlineStr">
        <is>
          <t>Monto Original ($)</t>
        </is>
      </c>
      <c r="H1" s="125" t="inlineStr">
        <is>
          <t>Con actualizacion</t>
        </is>
      </c>
      <c r="I1" s="125" t="inlineStr">
        <is>
          <t>Total Desacopiado ($)</t>
        </is>
      </c>
      <c r="J1" s="125" t="inlineStr">
        <is>
          <t>Saldo Pendiente ($)</t>
        </is>
      </c>
      <c r="K1" s="88" t="inlineStr">
        <is>
          <t>% Desacopiado</t>
        </is>
      </c>
    </row>
    <row r="2" ht="14.25" customHeight="1">
      <c r="A2" s="89" t="inlineStr">
        <is>
          <t>00-181</t>
        </is>
      </c>
      <c r="B2" s="90" t="inlineStr">
        <is>
          <t>Bombeo Planta Potabilizadora Puerto Nizuc</t>
        </is>
      </c>
      <c r="C2" s="91" t="inlineStr">
        <is>
          <t>Anticipo Financiero 1</t>
        </is>
      </c>
      <c r="D2" s="89" t="n">
        <v>1</v>
      </c>
      <c r="E2" s="89" t="inlineStr">
        <is>
          <t>0018-00002514</t>
        </is>
      </c>
      <c r="F2" s="126" t="n">
        <v>45938</v>
      </c>
      <c r="G2" s="127" t="n">
        <v>21615296.4</v>
      </c>
      <c r="H2" s="127" t="n"/>
      <c r="I2" s="128">
        <f>SUMIFS(Master!I:I,Master!D:D,"Provision Tableros electricos")</f>
        <v/>
      </c>
      <c r="J2" s="128">
        <f>G2-I2</f>
        <v/>
      </c>
      <c r="K2" s="95">
        <f>IFERROR(I2/G2,0)</f>
        <v/>
      </c>
    </row>
    <row r="3" ht="14.25" customHeight="1">
      <c r="A3" s="89" t="inlineStr">
        <is>
          <t>00-181</t>
        </is>
      </c>
      <c r="B3" s="90" t="inlineStr">
        <is>
          <t>Bombeo Planta Potabilizadora Puerto Nizuc</t>
        </is>
      </c>
      <c r="C3" s="91" t="inlineStr">
        <is>
          <t>Anticipo Cableado</t>
        </is>
      </c>
      <c r="D3" s="89" t="n">
        <v>2</v>
      </c>
      <c r="E3" s="89" t="inlineStr">
        <is>
          <t>0018-00002548</t>
        </is>
      </c>
      <c r="F3" s="126" t="n">
        <v>46078</v>
      </c>
      <c r="G3" s="127" t="n">
        <v>48893832.04</v>
      </c>
      <c r="H3" s="127" t="n"/>
      <c r="I3" s="128">
        <f>SUMIFS(Master!I:I,Master!D:D,"Conexión y Cableado")</f>
        <v/>
      </c>
      <c r="J3" s="128">
        <f>G3-I3</f>
        <v/>
      </c>
      <c r="K3" s="95">
        <f>IFERROR(I3/G3,0)</f>
        <v/>
      </c>
    </row>
    <row r="4" ht="14.25" customHeight="1">
      <c r="A4" s="89" t="inlineStr">
        <is>
          <t>00-181</t>
        </is>
      </c>
      <c r="B4" s="90" t="inlineStr">
        <is>
          <t>Bombeo Planta Potabilizadora Puerto Nizuc</t>
        </is>
      </c>
      <c r="C4" s="91" t="inlineStr">
        <is>
          <t>Anticipo Manifold y tableros</t>
        </is>
      </c>
      <c r="D4" s="89" t="n">
        <v>3</v>
      </c>
      <c r="E4" s="89" t="inlineStr">
        <is>
          <t>0018-00002498</t>
        </is>
      </c>
      <c r="F4" s="126" t="n">
        <v>45904</v>
      </c>
      <c r="G4" s="127" t="n">
        <v>81685880</v>
      </c>
      <c r="H4" s="127" t="n"/>
      <c r="I4" s="128">
        <f>SUMIFS(Master!I:I,Master!D:D,"Manifold y Tableros")</f>
        <v/>
      </c>
      <c r="J4" s="128">
        <f>G4-I4</f>
        <v/>
      </c>
      <c r="K4" s="95">
        <f>IFERROR(I4/G4,0)</f>
        <v/>
      </c>
    </row>
    <row r="5" ht="14.25" customHeight="1">
      <c r="A5" s="89" t="inlineStr">
        <is>
          <t>00-181</t>
        </is>
      </c>
      <c r="B5" s="90" t="inlineStr">
        <is>
          <t>Bombeo Planta Potabilizadora Puerto Nizuc</t>
        </is>
      </c>
      <c r="C5" s="91" t="inlineStr">
        <is>
          <t>Anticipo Bombeo Planta</t>
        </is>
      </c>
      <c r="D5" s="89" t="n">
        <v>4</v>
      </c>
      <c r="E5" s="89" t="inlineStr">
        <is>
          <t>0018-00002503</t>
        </is>
      </c>
      <c r="F5" s="126" t="n">
        <v>45916</v>
      </c>
      <c r="G5" s="127" t="n">
        <v>12601653.25</v>
      </c>
      <c r="H5" s="127" t="n"/>
      <c r="I5" s="128">
        <f>SUMIFS(Master!I:I,Master!D:D,"Oficina Tecnica")</f>
        <v/>
      </c>
      <c r="J5" s="128">
        <f>G5-I5</f>
        <v/>
      </c>
      <c r="K5" s="95">
        <f>IFERROR(I5/G5,0)</f>
        <v/>
      </c>
    </row>
    <row r="6" ht="14.25" customHeight="1">
      <c r="A6" s="89" t="inlineStr">
        <is>
          <t>00-530</t>
        </is>
      </c>
      <c r="B6" s="90" t="inlineStr">
        <is>
          <t>Redes y Colectores Cloacales Alderetes - Tucumán</t>
        </is>
      </c>
      <c r="C6" s="91" t="inlineStr">
        <is>
          <t>Anticipo Financiero</t>
        </is>
      </c>
      <c r="D6" s="89" t="n">
        <v>1</v>
      </c>
      <c r="E6" s="89" t="inlineStr">
        <is>
          <t>0018-00001365</t>
        </is>
      </c>
      <c r="F6" s="126" t="n">
        <v>44308</v>
      </c>
      <c r="G6" s="127" t="n">
        <v>175969573.995</v>
      </c>
      <c r="H6" s="127" t="n"/>
      <c r="I6" s="128">
        <f>SUMIFS(Master!I:I,Master!A:A,A6)</f>
        <v/>
      </c>
      <c r="J6" s="128">
        <f>G6-I6</f>
        <v/>
      </c>
      <c r="K6" s="95">
        <f>IFERROR(I6/G6,0)</f>
        <v/>
      </c>
    </row>
    <row r="7" ht="14.25" customHeight="1">
      <c r="A7" s="89" t="inlineStr">
        <is>
          <t>00-178</t>
        </is>
      </c>
      <c r="B7" s="90" t="inlineStr">
        <is>
          <t>Edificio Oficinas - Puerto Nizuc</t>
        </is>
      </c>
      <c r="C7" s="91" t="inlineStr">
        <is>
          <t>Anticipo Financiero</t>
        </is>
      </c>
      <c r="D7" s="89" t="n">
        <v>1</v>
      </c>
      <c r="E7" s="89" t="inlineStr">
        <is>
          <t>0018-00002555</t>
        </is>
      </c>
      <c r="F7" s="126" t="n">
        <v>46007</v>
      </c>
      <c r="G7" s="127" t="n">
        <v>3390677291.57</v>
      </c>
      <c r="H7" s="127">
        <f>+G7*1.044428</f>
        <v/>
      </c>
      <c r="I7" s="128">
        <f>SUMIFS(Master!I:I,Master!A:A,A7)</f>
        <v/>
      </c>
      <c r="J7" s="128">
        <f>H7-I7</f>
        <v/>
      </c>
      <c r="K7" s="95">
        <f>IFERROR(I7/H7,0)</f>
        <v/>
      </c>
    </row>
    <row r="8" ht="14.25" customHeight="1">
      <c r="A8" s="89" t="inlineStr">
        <is>
          <t>00-177</t>
        </is>
      </c>
      <c r="B8" s="90" t="inlineStr">
        <is>
          <t>Edificios 7 y 8 - Puerto Nizuc</t>
        </is>
      </c>
      <c r="C8" s="91" t="inlineStr">
        <is>
          <t>Anticipo Financiero</t>
        </is>
      </c>
      <c r="D8" s="89" t="n">
        <v>1</v>
      </c>
      <c r="E8" s="96" t="inlineStr">
        <is>
          <t>0018-00002546</t>
        </is>
      </c>
      <c r="F8" s="126" t="n">
        <v>46007</v>
      </c>
      <c r="G8" s="127" t="n">
        <v>4837006176.45</v>
      </c>
      <c r="H8" s="127">
        <f>+I8</f>
        <v/>
      </c>
      <c r="I8" s="128">
        <f>SUMIFS(Master!I:I,Master!A:A,A8)</f>
        <v/>
      </c>
      <c r="J8" s="128">
        <f>H8-I8</f>
        <v/>
      </c>
      <c r="K8" s="95">
        <f>IFERROR(I8/H8,0)</f>
        <v/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D9"/>
  <sheetViews>
    <sheetView zoomScaleNormal="100" workbookViewId="0">
      <selection activeCell="A2" sqref="A2"/>
    </sheetView>
  </sheetViews>
  <sheetFormatPr baseColWidth="8" defaultColWidth="8.7109375" defaultRowHeight="14.25"/>
  <cols>
    <col width="22.28515625" customWidth="1" min="2" max="2"/>
    <col width="19.7109375" customWidth="1" min="3" max="3"/>
    <col width="11.42578125" customWidth="1" min="4" max="4"/>
  </cols>
  <sheetData>
    <row r="2" ht="14.25" customHeight="1">
      <c r="A2" t="inlineStr">
        <is>
          <t>UOP</t>
        </is>
      </c>
      <c r="B2" t="inlineStr">
        <is>
          <t>Concepto</t>
        </is>
      </c>
      <c r="C2" t="inlineStr">
        <is>
          <t>Monto</t>
        </is>
      </c>
      <c r="D2" t="inlineStr">
        <is>
          <t>Fecha</t>
        </is>
      </c>
    </row>
    <row r="3" ht="14.25" customHeight="1">
      <c r="A3" s="22" t="inlineStr">
        <is>
          <t>00-530</t>
        </is>
      </c>
      <c r="B3" t="inlineStr">
        <is>
          <t>contrato Ajuste alzado</t>
        </is>
      </c>
      <c r="C3" s="97" t="n">
        <v>1759695739.95</v>
      </c>
      <c r="D3" s="98" t="n">
        <v>44256</v>
      </c>
    </row>
    <row r="4" ht="14.25" customHeight="1">
      <c r="A4" s="22" t="inlineStr">
        <is>
          <t>00-530</t>
        </is>
      </c>
      <c r="B4" t="inlineStr">
        <is>
          <t>Ampliacion</t>
        </is>
      </c>
      <c r="C4" s="97" t="n">
        <v>351934615.48</v>
      </c>
      <c r="D4" s="98" t="n">
        <v>46042</v>
      </c>
    </row>
    <row r="5" ht="14.25" customHeight="1">
      <c r="A5" s="22" t="inlineStr">
        <is>
          <t>00-175</t>
        </is>
      </c>
      <c r="B5" t="inlineStr">
        <is>
          <t>Carta Oferta</t>
        </is>
      </c>
      <c r="C5" s="97" t="n">
        <v>2337056186.58</v>
      </c>
      <c r="D5" s="98" t="n">
        <v>45870</v>
      </c>
    </row>
    <row r="6" ht="14.25" customHeight="1">
      <c r="A6" s="22" t="inlineStr">
        <is>
          <t>00-176</t>
        </is>
      </c>
      <c r="B6" t="inlineStr">
        <is>
          <t>Carta Oferta</t>
        </is>
      </c>
      <c r="C6" s="97" t="n">
        <v>5000000000</v>
      </c>
      <c r="D6" s="98" t="n">
        <v>46113</v>
      </c>
    </row>
    <row r="7" ht="14.25" customHeight="1">
      <c r="A7" s="22" t="inlineStr">
        <is>
          <t>00-177</t>
        </is>
      </c>
      <c r="B7" t="inlineStr">
        <is>
          <t>Contrato Coste y Costas</t>
        </is>
      </c>
      <c r="C7" s="97" t="n">
        <v>30896493733.39</v>
      </c>
      <c r="D7" s="98" t="n">
        <v>45870</v>
      </c>
    </row>
    <row r="8" ht="14.25" customHeight="1">
      <c r="A8" s="22" t="inlineStr">
        <is>
          <t>00-178</t>
        </is>
      </c>
      <c r="B8" t="inlineStr">
        <is>
          <t>Contrato Coste y Costas</t>
        </is>
      </c>
      <c r="C8" s="97" t="n">
        <v>33906772915.32</v>
      </c>
      <c r="D8" s="98" t="n">
        <v>45870</v>
      </c>
    </row>
    <row r="9" ht="14.25" customHeight="1">
      <c r="A9" s="22" t="inlineStr">
        <is>
          <t>00-636</t>
        </is>
      </c>
      <c r="B9" t="inlineStr">
        <is>
          <t>Carta Oferta</t>
        </is>
      </c>
      <c r="C9" s="97" t="n">
        <v>1500000000</v>
      </c>
      <c r="D9" s="98" t="n">
        <v>45839</v>
      </c>
    </row>
  </sheetData>
  <conditionalFormatting sqref="A5:A6">
    <cfRule type="expression" priority="2" dxfId="6">
      <formula>$Q2="ANULADA"</formula>
    </cfRule>
    <cfRule type="expression" priority="3" dxfId="5">
      <formula>LEFT($M2,2)="NC"</formula>
    </cfRule>
    <cfRule type="expression" priority="4" dxfId="4">
      <formula>AND($Q2&lt;&gt;"ANULADA",$AI2&gt;0,$AJ2&lt;-10)</formula>
    </cfRule>
    <cfRule type="expression" priority="5" dxfId="3">
      <formula>AND($Q2&lt;&gt;"ANULADA",$AI2&gt;0,ABS($AJ2)&lt;=10)</formula>
    </cfRule>
    <cfRule type="expression" priority="6" dxfId="2">
      <formula>AND($Q2&lt;&gt;"ANULADA",$AI2&gt;0,$AJ2&gt;10)</formula>
    </cfRule>
    <cfRule type="expression" priority="7" dxfId="1">
      <formula>AND($Q2&lt;&gt;"ANULADA",$AA2&gt;0,OR($AI2=0,$AI2=""))</formula>
    </cfRule>
    <cfRule type="expression" priority="8" dxfId="0">
      <formula>$A5&lt;&gt;""</formula>
    </cfRule>
  </conditionalFormatting>
  <conditionalFormatting sqref="A3:A4 A9">
    <cfRule type="expression" priority="9" dxfId="6">
      <formula>$Q3="ANULADA"</formula>
    </cfRule>
    <cfRule type="expression" priority="10" dxfId="5">
      <formula>LEFT($M3,2)="NC"</formula>
    </cfRule>
    <cfRule type="expression" priority="11" dxfId="4">
      <formula>AND($Q3&lt;&gt;"ANULADA",$AI3&gt;0,$AJ3&lt;-10)</formula>
    </cfRule>
    <cfRule type="expression" priority="12" dxfId="3">
      <formula>AND($Q3&lt;&gt;"ANULADA",$AI3&gt;0,ABS($AJ3)&lt;=10)</formula>
    </cfRule>
    <cfRule type="expression" priority="13" dxfId="2">
      <formula>AND($Q3&lt;&gt;"ANULADA",$AI3&gt;0,$AJ3&gt;10)</formula>
    </cfRule>
    <cfRule type="expression" priority="14" dxfId="1">
      <formula>AND($Q3&lt;&gt;"ANULADA",$AA3&gt;0,OR($AI3=0,$AI3=""))</formula>
    </cfRule>
    <cfRule type="expression" priority="15" dxfId="0">
      <formula>$A3&lt;&gt;""</formula>
    </cfRule>
  </conditionalFormatting>
  <conditionalFormatting sqref="A7:A8">
    <cfRule type="expression" priority="16" dxfId="6">
      <formula>$Q5="ANULADA"</formula>
    </cfRule>
    <cfRule type="expression" priority="17" dxfId="5">
      <formula>LEFT($M5,2)="NC"</formula>
    </cfRule>
    <cfRule type="expression" priority="18" dxfId="4">
      <formula>AND($Q5&lt;&gt;"ANULADA",$AI5&gt;0,$AJ5&lt;-10)</formula>
    </cfRule>
    <cfRule type="expression" priority="19" dxfId="3">
      <formula>AND($Q5&lt;&gt;"ANULADA",$AI5&gt;0,ABS($AJ5)&lt;=10)</formula>
    </cfRule>
    <cfRule type="expression" priority="20" dxfId="2">
      <formula>AND($Q5&lt;&gt;"ANULADA",$AI5&gt;0,$AJ5&gt;10)</formula>
    </cfRule>
    <cfRule type="expression" priority="21" dxfId="1">
      <formula>AND($Q5&lt;&gt;"ANULADA",$AA5&gt;0,OR($AI5=0,$AI5=""))</formula>
    </cfRule>
    <cfRule type="expression" priority="22" dxfId="0">
      <formula>$A7&lt;&gt;""</formula>
    </cfRule>
  </conditionalFormatting>
  <pageMargins left="0.7" right="0.7" top="0.75" bottom="0.75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Matias Perez de la Torre</dc:creator>
  <dcterms:created xmlns:dcterms="http://purl.org/dc/terms/" xmlns:xsi="http://www.w3.org/2001/XMLSchema-instance" xsi:type="dcterms:W3CDTF">2026-05-18T13:06:02Z</dcterms:created>
  <dcterms:modified xmlns:dcterms="http://purl.org/dc/terms/" xmlns:xsi="http://www.w3.org/2001/XMLSchema-instance" xsi:type="dcterms:W3CDTF">2026-06-24T15:52:04Z</dcterms:modified>
  <cp:lastModifiedBy>Matias Perez de la Torre</cp:lastModifiedBy>
  <cp:revision>0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0x010100EE506009F82FD740AE7A6453FF89BBF1</vt:lpwstr>
  </property>
</Properties>
</file>